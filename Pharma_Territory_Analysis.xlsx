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s" sheetId="1" state="visible" r:id="rId3"/>
    <sheet name="Rep_Summary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<sst xmlns="http://schemas.openxmlformats.org/spreadsheetml/2006/main" count="1376" uniqueCount="710">
  <si>
    <t xml:space="preserve">Account ID</t>
  </si>
  <si>
    <t xml:space="preserve">Region</t>
  </si>
  <si>
    <t xml:space="preserve">Revenue Potential ($)</t>
  </si>
  <si>
    <t xml:space="preserve">Original Rep ID</t>
  </si>
  <si>
    <t xml:space="preserve">Rebalanced Rep ID</t>
  </si>
  <si>
    <t xml:space="preserve">ACC0001</t>
  </si>
  <si>
    <t xml:space="preserve">Midwest</t>
  </si>
  <si>
    <t xml:space="preserve">ACC0002</t>
  </si>
  <si>
    <t xml:space="preserve">Southeast</t>
  </si>
  <si>
    <t xml:space="preserve">ACC0003</t>
  </si>
  <si>
    <t xml:space="preserve">Southwest</t>
  </si>
  <si>
    <t xml:space="preserve">ACC0004</t>
  </si>
  <si>
    <t xml:space="preserve">Northeast</t>
  </si>
  <si>
    <t xml:space="preserve">ACC0005</t>
  </si>
  <si>
    <t xml:space="preserve">ACC0006</t>
  </si>
  <si>
    <t xml:space="preserve">West</t>
  </si>
  <si>
    <t xml:space="preserve">ACC0007</t>
  </si>
  <si>
    <t xml:space="preserve">ACC0008</t>
  </si>
  <si>
    <t xml:space="preserve">ACC0009</t>
  </si>
  <si>
    <t xml:space="preserve">ACC0010</t>
  </si>
  <si>
    <t xml:space="preserve">ACC0011</t>
  </si>
  <si>
    <t xml:space="preserve">ACC0012</t>
  </si>
  <si>
    <t xml:space="preserve">ACC0013</t>
  </si>
  <si>
    <t xml:space="preserve">ACC0014</t>
  </si>
  <si>
    <t xml:space="preserve">ACC0015</t>
  </si>
  <si>
    <t xml:space="preserve">ACC0016</t>
  </si>
  <si>
    <t xml:space="preserve">ACC0017</t>
  </si>
  <si>
    <t xml:space="preserve">ACC0018</t>
  </si>
  <si>
    <t xml:space="preserve">ACC0019</t>
  </si>
  <si>
    <t xml:space="preserve">ACC0020</t>
  </si>
  <si>
    <t xml:space="preserve">ACC0021</t>
  </si>
  <si>
    <t xml:space="preserve">ACC0022</t>
  </si>
  <si>
    <t xml:space="preserve">ACC0023</t>
  </si>
  <si>
    <t xml:space="preserve">ACC0024</t>
  </si>
  <si>
    <t xml:space="preserve">ACC0025</t>
  </si>
  <si>
    <t xml:space="preserve">ACC0026</t>
  </si>
  <si>
    <t xml:space="preserve">ACC0027</t>
  </si>
  <si>
    <t xml:space="preserve">ACC0028</t>
  </si>
  <si>
    <t xml:space="preserve">ACC0029</t>
  </si>
  <si>
    <t xml:space="preserve">ACC0030</t>
  </si>
  <si>
    <t xml:space="preserve">ACC0031</t>
  </si>
  <si>
    <t xml:space="preserve">ACC0032</t>
  </si>
  <si>
    <t xml:space="preserve">ACC0033</t>
  </si>
  <si>
    <t xml:space="preserve">ACC0034</t>
  </si>
  <si>
    <t xml:space="preserve">ACC0035</t>
  </si>
  <si>
    <t xml:space="preserve">ACC0036</t>
  </si>
  <si>
    <t xml:space="preserve">ACC0037</t>
  </si>
  <si>
    <t xml:space="preserve">ACC0038</t>
  </si>
  <si>
    <t xml:space="preserve">ACC0039</t>
  </si>
  <si>
    <t xml:space="preserve">ACC0040</t>
  </si>
  <si>
    <t xml:space="preserve">ACC0041</t>
  </si>
  <si>
    <t xml:space="preserve">ACC0042</t>
  </si>
  <si>
    <t xml:space="preserve">ACC0043</t>
  </si>
  <si>
    <t xml:space="preserve">ACC0044</t>
  </si>
  <si>
    <t xml:space="preserve">ACC0045</t>
  </si>
  <si>
    <t xml:space="preserve">ACC0046</t>
  </si>
  <si>
    <t xml:space="preserve">ACC0047</t>
  </si>
  <si>
    <t xml:space="preserve">ACC0048</t>
  </si>
  <si>
    <t xml:space="preserve">ACC0049</t>
  </si>
  <si>
    <t xml:space="preserve">ACC0050</t>
  </si>
  <si>
    <t xml:space="preserve">ACC0051</t>
  </si>
  <si>
    <t xml:space="preserve">ACC0052</t>
  </si>
  <si>
    <t xml:space="preserve">ACC0053</t>
  </si>
  <si>
    <t xml:space="preserve">ACC0054</t>
  </si>
  <si>
    <t xml:space="preserve">ACC0055</t>
  </si>
  <si>
    <t xml:space="preserve">ACC0056</t>
  </si>
  <si>
    <t xml:space="preserve">ACC0057</t>
  </si>
  <si>
    <t xml:space="preserve">ACC0058</t>
  </si>
  <si>
    <t xml:space="preserve">ACC0059</t>
  </si>
  <si>
    <t xml:space="preserve">ACC0060</t>
  </si>
  <si>
    <t xml:space="preserve">ACC0061</t>
  </si>
  <si>
    <t xml:space="preserve">ACC0062</t>
  </si>
  <si>
    <t xml:space="preserve">ACC0063</t>
  </si>
  <si>
    <t xml:space="preserve">ACC0064</t>
  </si>
  <si>
    <t xml:space="preserve">ACC0065</t>
  </si>
  <si>
    <t xml:space="preserve">ACC0066</t>
  </si>
  <si>
    <t xml:space="preserve">ACC0067</t>
  </si>
  <si>
    <t xml:space="preserve">ACC0068</t>
  </si>
  <si>
    <t xml:space="preserve">ACC0069</t>
  </si>
  <si>
    <t xml:space="preserve">ACC0070</t>
  </si>
  <si>
    <t xml:space="preserve">ACC0071</t>
  </si>
  <si>
    <t xml:space="preserve">ACC0072</t>
  </si>
  <si>
    <t xml:space="preserve">ACC0073</t>
  </si>
  <si>
    <t xml:space="preserve">ACC0074</t>
  </si>
  <si>
    <t xml:space="preserve">ACC0075</t>
  </si>
  <si>
    <t xml:space="preserve">ACC0076</t>
  </si>
  <si>
    <t xml:space="preserve">ACC0077</t>
  </si>
  <si>
    <t xml:space="preserve">ACC0078</t>
  </si>
  <si>
    <t xml:space="preserve">ACC0079</t>
  </si>
  <si>
    <t xml:space="preserve">ACC0080</t>
  </si>
  <si>
    <t xml:space="preserve">ACC0081</t>
  </si>
  <si>
    <t xml:space="preserve">ACC0082</t>
  </si>
  <si>
    <t xml:space="preserve">ACC0083</t>
  </si>
  <si>
    <t xml:space="preserve">ACC0084</t>
  </si>
  <si>
    <t xml:space="preserve">ACC0085</t>
  </si>
  <si>
    <t xml:space="preserve">ACC0086</t>
  </si>
  <si>
    <t xml:space="preserve">ACC0087</t>
  </si>
  <si>
    <t xml:space="preserve">ACC0088</t>
  </si>
  <si>
    <t xml:space="preserve">ACC0089</t>
  </si>
  <si>
    <t xml:space="preserve">ACC0090</t>
  </si>
  <si>
    <t xml:space="preserve">ACC0091</t>
  </si>
  <si>
    <t xml:space="preserve">ACC0092</t>
  </si>
  <si>
    <t xml:space="preserve">ACC0093</t>
  </si>
  <si>
    <t xml:space="preserve">ACC0094</t>
  </si>
  <si>
    <t xml:space="preserve">ACC0095</t>
  </si>
  <si>
    <t xml:space="preserve">ACC0096</t>
  </si>
  <si>
    <t xml:space="preserve">ACC0097</t>
  </si>
  <si>
    <t xml:space="preserve">ACC0098</t>
  </si>
  <si>
    <t xml:space="preserve">ACC0099</t>
  </si>
  <si>
    <t xml:space="preserve">ACC0100</t>
  </si>
  <si>
    <t xml:space="preserve">ACC0101</t>
  </si>
  <si>
    <t xml:space="preserve">ACC0102</t>
  </si>
  <si>
    <t xml:space="preserve">ACC0103</t>
  </si>
  <si>
    <t xml:space="preserve">ACC0104</t>
  </si>
  <si>
    <t xml:space="preserve">ACC0105</t>
  </si>
  <si>
    <t xml:space="preserve">ACC0106</t>
  </si>
  <si>
    <t xml:space="preserve">ACC0107</t>
  </si>
  <si>
    <t xml:space="preserve">ACC0108</t>
  </si>
  <si>
    <t xml:space="preserve">ACC0109</t>
  </si>
  <si>
    <t xml:space="preserve">ACC0110</t>
  </si>
  <si>
    <t xml:space="preserve">ACC0111</t>
  </si>
  <si>
    <t xml:space="preserve">ACC0112</t>
  </si>
  <si>
    <t xml:space="preserve">ACC0113</t>
  </si>
  <si>
    <t xml:space="preserve">ACC0114</t>
  </si>
  <si>
    <t xml:space="preserve">ACC0115</t>
  </si>
  <si>
    <t xml:space="preserve">ACC0116</t>
  </si>
  <si>
    <t xml:space="preserve">ACC0117</t>
  </si>
  <si>
    <t xml:space="preserve">ACC0118</t>
  </si>
  <si>
    <t xml:space="preserve">ACC0119</t>
  </si>
  <si>
    <t xml:space="preserve">ACC0120</t>
  </si>
  <si>
    <t xml:space="preserve">ACC0121</t>
  </si>
  <si>
    <t xml:space="preserve">ACC0122</t>
  </si>
  <si>
    <t xml:space="preserve">ACC0123</t>
  </si>
  <si>
    <t xml:space="preserve">ACC0124</t>
  </si>
  <si>
    <t xml:space="preserve">ACC0125</t>
  </si>
  <si>
    <t xml:space="preserve">ACC0126</t>
  </si>
  <si>
    <t xml:space="preserve">ACC0127</t>
  </si>
  <si>
    <t xml:space="preserve">ACC0128</t>
  </si>
  <si>
    <t xml:space="preserve">ACC0129</t>
  </si>
  <si>
    <t xml:space="preserve">ACC0130</t>
  </si>
  <si>
    <t xml:space="preserve">ACC0131</t>
  </si>
  <si>
    <t xml:space="preserve">ACC0132</t>
  </si>
  <si>
    <t xml:space="preserve">ACC0133</t>
  </si>
  <si>
    <t xml:space="preserve">ACC0134</t>
  </si>
  <si>
    <t xml:space="preserve">ACC0135</t>
  </si>
  <si>
    <t xml:space="preserve">ACC0136</t>
  </si>
  <si>
    <t xml:space="preserve">ACC0137</t>
  </si>
  <si>
    <t xml:space="preserve">ACC0138</t>
  </si>
  <si>
    <t xml:space="preserve">ACC0139</t>
  </si>
  <si>
    <t xml:space="preserve">ACC0140</t>
  </si>
  <si>
    <t xml:space="preserve">ACC0141</t>
  </si>
  <si>
    <t xml:space="preserve">ACC0142</t>
  </si>
  <si>
    <t xml:space="preserve">ACC0143</t>
  </si>
  <si>
    <t xml:space="preserve">ACC0144</t>
  </si>
  <si>
    <t xml:space="preserve">ACC0145</t>
  </si>
  <si>
    <t xml:space="preserve">ACC0146</t>
  </si>
  <si>
    <t xml:space="preserve">ACC0147</t>
  </si>
  <si>
    <t xml:space="preserve">ACC0148</t>
  </si>
  <si>
    <t xml:space="preserve">ACC0149</t>
  </si>
  <si>
    <t xml:space="preserve">ACC0150</t>
  </si>
  <si>
    <t xml:space="preserve">ACC0151</t>
  </si>
  <si>
    <t xml:space="preserve">ACC0152</t>
  </si>
  <si>
    <t xml:space="preserve">ACC0153</t>
  </si>
  <si>
    <t xml:space="preserve">ACC0154</t>
  </si>
  <si>
    <t xml:space="preserve">ACC0155</t>
  </si>
  <si>
    <t xml:space="preserve">ACC0156</t>
  </si>
  <si>
    <t xml:space="preserve">ACC0157</t>
  </si>
  <si>
    <t xml:space="preserve">ACC0158</t>
  </si>
  <si>
    <t xml:space="preserve">ACC0159</t>
  </si>
  <si>
    <t xml:space="preserve">ACC0160</t>
  </si>
  <si>
    <t xml:space="preserve">ACC0161</t>
  </si>
  <si>
    <t xml:space="preserve">ACC0162</t>
  </si>
  <si>
    <t xml:space="preserve">ACC0163</t>
  </si>
  <si>
    <t xml:space="preserve">ACC0164</t>
  </si>
  <si>
    <t xml:space="preserve">ACC0165</t>
  </si>
  <si>
    <t xml:space="preserve">ACC0166</t>
  </si>
  <si>
    <t xml:space="preserve">ACC0167</t>
  </si>
  <si>
    <t xml:space="preserve">ACC0168</t>
  </si>
  <si>
    <t xml:space="preserve">ACC0169</t>
  </si>
  <si>
    <t xml:space="preserve">ACC0170</t>
  </si>
  <si>
    <t xml:space="preserve">ACC0171</t>
  </si>
  <si>
    <t xml:space="preserve">ACC0172</t>
  </si>
  <si>
    <t xml:space="preserve">ACC0173</t>
  </si>
  <si>
    <t xml:space="preserve">ACC0174</t>
  </si>
  <si>
    <t xml:space="preserve">ACC0175</t>
  </si>
  <si>
    <t xml:space="preserve">ACC0176</t>
  </si>
  <si>
    <t xml:space="preserve">ACC0177</t>
  </si>
  <si>
    <t xml:space="preserve">ACC0178</t>
  </si>
  <si>
    <t xml:space="preserve">ACC0179</t>
  </si>
  <si>
    <t xml:space="preserve">ACC0180</t>
  </si>
  <si>
    <t xml:space="preserve">ACC0181</t>
  </si>
  <si>
    <t xml:space="preserve">ACC0182</t>
  </si>
  <si>
    <t xml:space="preserve">ACC0183</t>
  </si>
  <si>
    <t xml:space="preserve">ACC0184</t>
  </si>
  <si>
    <t xml:space="preserve">ACC0185</t>
  </si>
  <si>
    <t xml:space="preserve">ACC0186</t>
  </si>
  <si>
    <t xml:space="preserve">ACC0187</t>
  </si>
  <si>
    <t xml:space="preserve">ACC0188</t>
  </si>
  <si>
    <t xml:space="preserve">ACC0189</t>
  </si>
  <si>
    <t xml:space="preserve">ACC0190</t>
  </si>
  <si>
    <t xml:space="preserve">ACC0191</t>
  </si>
  <si>
    <t xml:space="preserve">ACC0192</t>
  </si>
  <si>
    <t xml:space="preserve">ACC0193</t>
  </si>
  <si>
    <t xml:space="preserve">ACC0194</t>
  </si>
  <si>
    <t xml:space="preserve">ACC0195</t>
  </si>
  <si>
    <t xml:space="preserve">ACC0196</t>
  </si>
  <si>
    <t xml:space="preserve">ACC0197</t>
  </si>
  <si>
    <t xml:space="preserve">ACC0198</t>
  </si>
  <si>
    <t xml:space="preserve">ACC0199</t>
  </si>
  <si>
    <t xml:space="preserve">ACC0200</t>
  </si>
  <si>
    <t xml:space="preserve">ACC0201</t>
  </si>
  <si>
    <t xml:space="preserve">ACC0202</t>
  </si>
  <si>
    <t xml:space="preserve">ACC0203</t>
  </si>
  <si>
    <t xml:space="preserve">ACC0204</t>
  </si>
  <si>
    <t xml:space="preserve">ACC0205</t>
  </si>
  <si>
    <t xml:space="preserve">ACC0206</t>
  </si>
  <si>
    <t xml:space="preserve">ACC0207</t>
  </si>
  <si>
    <t xml:space="preserve">ACC0208</t>
  </si>
  <si>
    <t xml:space="preserve">ACC0209</t>
  </si>
  <si>
    <t xml:space="preserve">ACC0210</t>
  </si>
  <si>
    <t xml:space="preserve">ACC0211</t>
  </si>
  <si>
    <t xml:space="preserve">ACC0212</t>
  </si>
  <si>
    <t xml:space="preserve">ACC0213</t>
  </si>
  <si>
    <t xml:space="preserve">ACC0214</t>
  </si>
  <si>
    <t xml:space="preserve">ACC0215</t>
  </si>
  <si>
    <t xml:space="preserve">ACC0216</t>
  </si>
  <si>
    <t xml:space="preserve">ACC0217</t>
  </si>
  <si>
    <t xml:space="preserve">ACC0218</t>
  </si>
  <si>
    <t xml:space="preserve">ACC0219</t>
  </si>
  <si>
    <t xml:space="preserve">ACC0220</t>
  </si>
  <si>
    <t xml:space="preserve">ACC0221</t>
  </si>
  <si>
    <t xml:space="preserve">ACC0222</t>
  </si>
  <si>
    <t xml:space="preserve">ACC0223</t>
  </si>
  <si>
    <t xml:space="preserve">ACC0224</t>
  </si>
  <si>
    <t xml:space="preserve">ACC0225</t>
  </si>
  <si>
    <t xml:space="preserve">ACC0226</t>
  </si>
  <si>
    <t xml:space="preserve">ACC0227</t>
  </si>
  <si>
    <t xml:space="preserve">ACC0228</t>
  </si>
  <si>
    <t xml:space="preserve">ACC0229</t>
  </si>
  <si>
    <t xml:space="preserve">ACC0230</t>
  </si>
  <si>
    <t xml:space="preserve">ACC0231</t>
  </si>
  <si>
    <t xml:space="preserve">ACC0232</t>
  </si>
  <si>
    <t xml:space="preserve">ACC0233</t>
  </si>
  <si>
    <t xml:space="preserve">ACC0234</t>
  </si>
  <si>
    <t xml:space="preserve">ACC0235</t>
  </si>
  <si>
    <t xml:space="preserve">ACC0236</t>
  </si>
  <si>
    <t xml:space="preserve">ACC0237</t>
  </si>
  <si>
    <t xml:space="preserve">ACC0238</t>
  </si>
  <si>
    <t xml:space="preserve">ACC0239</t>
  </si>
  <si>
    <t xml:space="preserve">ACC0240</t>
  </si>
  <si>
    <t xml:space="preserve">ACC0241</t>
  </si>
  <si>
    <t xml:space="preserve">ACC0242</t>
  </si>
  <si>
    <t xml:space="preserve">ACC0243</t>
  </si>
  <si>
    <t xml:space="preserve">ACC0244</t>
  </si>
  <si>
    <t xml:space="preserve">ACC0245</t>
  </si>
  <si>
    <t xml:space="preserve">ACC0246</t>
  </si>
  <si>
    <t xml:space="preserve">ACC0247</t>
  </si>
  <si>
    <t xml:space="preserve">ACC0248</t>
  </si>
  <si>
    <t xml:space="preserve">ACC0249</t>
  </si>
  <si>
    <t xml:space="preserve">ACC0250</t>
  </si>
  <si>
    <t xml:space="preserve">ACC0251</t>
  </si>
  <si>
    <t xml:space="preserve">ACC0252</t>
  </si>
  <si>
    <t xml:space="preserve">ACC0253</t>
  </si>
  <si>
    <t xml:space="preserve">ACC0254</t>
  </si>
  <si>
    <t xml:space="preserve">ACC0255</t>
  </si>
  <si>
    <t xml:space="preserve">ACC0256</t>
  </si>
  <si>
    <t xml:space="preserve">ACC0257</t>
  </si>
  <si>
    <t xml:space="preserve">ACC0258</t>
  </si>
  <si>
    <t xml:space="preserve">ACC0259</t>
  </si>
  <si>
    <t xml:space="preserve">ACC0260</t>
  </si>
  <si>
    <t xml:space="preserve">ACC0261</t>
  </si>
  <si>
    <t xml:space="preserve">ACC0262</t>
  </si>
  <si>
    <t xml:space="preserve">ACC0263</t>
  </si>
  <si>
    <t xml:space="preserve">ACC0264</t>
  </si>
  <si>
    <t xml:space="preserve">ACC0265</t>
  </si>
  <si>
    <t xml:space="preserve">ACC0266</t>
  </si>
  <si>
    <t xml:space="preserve">ACC0267</t>
  </si>
  <si>
    <t xml:space="preserve">ACC0268</t>
  </si>
  <si>
    <t xml:space="preserve">ACC0269</t>
  </si>
  <si>
    <t xml:space="preserve">ACC0270</t>
  </si>
  <si>
    <t xml:space="preserve">ACC0271</t>
  </si>
  <si>
    <t xml:space="preserve">ACC0272</t>
  </si>
  <si>
    <t xml:space="preserve">ACC0273</t>
  </si>
  <si>
    <t xml:space="preserve">ACC0274</t>
  </si>
  <si>
    <t xml:space="preserve">ACC0275</t>
  </si>
  <si>
    <t xml:space="preserve">ACC0276</t>
  </si>
  <si>
    <t xml:space="preserve">ACC0277</t>
  </si>
  <si>
    <t xml:space="preserve">ACC0278</t>
  </si>
  <si>
    <t xml:space="preserve">ACC0279</t>
  </si>
  <si>
    <t xml:space="preserve">ACC0280</t>
  </si>
  <si>
    <t xml:space="preserve">ACC0281</t>
  </si>
  <si>
    <t xml:space="preserve">ACC0282</t>
  </si>
  <si>
    <t xml:space="preserve">ACC0283</t>
  </si>
  <si>
    <t xml:space="preserve">ACC0284</t>
  </si>
  <si>
    <t xml:space="preserve">ACC0285</t>
  </si>
  <si>
    <t xml:space="preserve">ACC0286</t>
  </si>
  <si>
    <t xml:space="preserve">ACC0287</t>
  </si>
  <si>
    <t xml:space="preserve">ACC0288</t>
  </si>
  <si>
    <t xml:space="preserve">ACC0289</t>
  </si>
  <si>
    <t xml:space="preserve">ACC0290</t>
  </si>
  <si>
    <t xml:space="preserve">ACC0291</t>
  </si>
  <si>
    <t xml:space="preserve">ACC0292</t>
  </si>
  <si>
    <t xml:space="preserve">ACC0293</t>
  </si>
  <si>
    <t xml:space="preserve">ACC0294</t>
  </si>
  <si>
    <t xml:space="preserve">ACC0295</t>
  </si>
  <si>
    <t xml:space="preserve">ACC0296</t>
  </si>
  <si>
    <t xml:space="preserve">ACC0297</t>
  </si>
  <si>
    <t xml:space="preserve">ACC0298</t>
  </si>
  <si>
    <t xml:space="preserve">ACC0299</t>
  </si>
  <si>
    <t xml:space="preserve">ACC0300</t>
  </si>
  <si>
    <t xml:space="preserve">ACC0301</t>
  </si>
  <si>
    <t xml:space="preserve">ACC0302</t>
  </si>
  <si>
    <t xml:space="preserve">ACC0303</t>
  </si>
  <si>
    <t xml:space="preserve">ACC0304</t>
  </si>
  <si>
    <t xml:space="preserve">ACC0305</t>
  </si>
  <si>
    <t xml:space="preserve">ACC0306</t>
  </si>
  <si>
    <t xml:space="preserve">ACC0307</t>
  </si>
  <si>
    <t xml:space="preserve">ACC0308</t>
  </si>
  <si>
    <t xml:space="preserve">ACC0309</t>
  </si>
  <si>
    <t xml:space="preserve">ACC0310</t>
  </si>
  <si>
    <t xml:space="preserve">ACC0311</t>
  </si>
  <si>
    <t xml:space="preserve">ACC0312</t>
  </si>
  <si>
    <t xml:space="preserve">ACC0313</t>
  </si>
  <si>
    <t xml:space="preserve">ACC0314</t>
  </si>
  <si>
    <t xml:space="preserve">ACC0315</t>
  </si>
  <si>
    <t xml:space="preserve">ACC0316</t>
  </si>
  <si>
    <t xml:space="preserve">ACC0317</t>
  </si>
  <si>
    <t xml:space="preserve">ACC0318</t>
  </si>
  <si>
    <t xml:space="preserve">ACC0319</t>
  </si>
  <si>
    <t xml:space="preserve">ACC0320</t>
  </si>
  <si>
    <t xml:space="preserve">ACC0321</t>
  </si>
  <si>
    <t xml:space="preserve">ACC0322</t>
  </si>
  <si>
    <t xml:space="preserve">ACC0323</t>
  </si>
  <si>
    <t xml:space="preserve">ACC0324</t>
  </si>
  <si>
    <t xml:space="preserve">ACC0325</t>
  </si>
  <si>
    <t xml:space="preserve">ACC0326</t>
  </si>
  <si>
    <t xml:space="preserve">ACC0327</t>
  </si>
  <si>
    <t xml:space="preserve">ACC0328</t>
  </si>
  <si>
    <t xml:space="preserve">ACC0329</t>
  </si>
  <si>
    <t xml:space="preserve">ACC0330</t>
  </si>
  <si>
    <t xml:space="preserve">ACC0331</t>
  </si>
  <si>
    <t xml:space="preserve">ACC0332</t>
  </si>
  <si>
    <t xml:space="preserve">ACC0333</t>
  </si>
  <si>
    <t xml:space="preserve">ACC0334</t>
  </si>
  <si>
    <t xml:space="preserve">ACC0335</t>
  </si>
  <si>
    <t xml:space="preserve">ACC0336</t>
  </si>
  <si>
    <t xml:space="preserve">ACC0337</t>
  </si>
  <si>
    <t xml:space="preserve">ACC0338</t>
  </si>
  <si>
    <t xml:space="preserve">ACC0339</t>
  </si>
  <si>
    <t xml:space="preserve">ACC0340</t>
  </si>
  <si>
    <t xml:space="preserve">ACC0341</t>
  </si>
  <si>
    <t xml:space="preserve">ACC0342</t>
  </si>
  <si>
    <t xml:space="preserve">ACC0343</t>
  </si>
  <si>
    <t xml:space="preserve">ACC0344</t>
  </si>
  <si>
    <t xml:space="preserve">ACC0345</t>
  </si>
  <si>
    <t xml:space="preserve">ACC0346</t>
  </si>
  <si>
    <t xml:space="preserve">ACC0347</t>
  </si>
  <si>
    <t xml:space="preserve">ACC0348</t>
  </si>
  <si>
    <t xml:space="preserve">ACC0349</t>
  </si>
  <si>
    <t xml:space="preserve">ACC0350</t>
  </si>
  <si>
    <t xml:space="preserve">ACC0351</t>
  </si>
  <si>
    <t xml:space="preserve">ACC0352</t>
  </si>
  <si>
    <t xml:space="preserve">ACC0353</t>
  </si>
  <si>
    <t xml:space="preserve">ACC0354</t>
  </si>
  <si>
    <t xml:space="preserve">ACC0355</t>
  </si>
  <si>
    <t xml:space="preserve">ACC0356</t>
  </si>
  <si>
    <t xml:space="preserve">ACC0357</t>
  </si>
  <si>
    <t xml:space="preserve">ACC0358</t>
  </si>
  <si>
    <t xml:space="preserve">ACC0359</t>
  </si>
  <si>
    <t xml:space="preserve">ACC0360</t>
  </si>
  <si>
    <t xml:space="preserve">ACC0361</t>
  </si>
  <si>
    <t xml:space="preserve">ACC0362</t>
  </si>
  <si>
    <t xml:space="preserve">ACC0363</t>
  </si>
  <si>
    <t xml:space="preserve">ACC0364</t>
  </si>
  <si>
    <t xml:space="preserve">ACC0365</t>
  </si>
  <si>
    <t xml:space="preserve">ACC0366</t>
  </si>
  <si>
    <t xml:space="preserve">ACC0367</t>
  </si>
  <si>
    <t xml:space="preserve">ACC0368</t>
  </si>
  <si>
    <t xml:space="preserve">ACC0369</t>
  </si>
  <si>
    <t xml:space="preserve">ACC0370</t>
  </si>
  <si>
    <t xml:space="preserve">ACC0371</t>
  </si>
  <si>
    <t xml:space="preserve">ACC0372</t>
  </si>
  <si>
    <t xml:space="preserve">ACC0373</t>
  </si>
  <si>
    <t xml:space="preserve">ACC0374</t>
  </si>
  <si>
    <t xml:space="preserve">ACC0375</t>
  </si>
  <si>
    <t xml:space="preserve">ACC0376</t>
  </si>
  <si>
    <t xml:space="preserve">ACC0377</t>
  </si>
  <si>
    <t xml:space="preserve">ACC0378</t>
  </si>
  <si>
    <t xml:space="preserve">ACC0379</t>
  </si>
  <si>
    <t xml:space="preserve">ACC0380</t>
  </si>
  <si>
    <t xml:space="preserve">ACC0381</t>
  </si>
  <si>
    <t xml:space="preserve">ACC0382</t>
  </si>
  <si>
    <t xml:space="preserve">ACC0383</t>
  </si>
  <si>
    <t xml:space="preserve">ACC0384</t>
  </si>
  <si>
    <t xml:space="preserve">ACC0385</t>
  </si>
  <si>
    <t xml:space="preserve">ACC0386</t>
  </si>
  <si>
    <t xml:space="preserve">ACC0387</t>
  </si>
  <si>
    <t xml:space="preserve">ACC0388</t>
  </si>
  <si>
    <t xml:space="preserve">ACC0389</t>
  </si>
  <si>
    <t xml:space="preserve">ACC0390</t>
  </si>
  <si>
    <t xml:space="preserve">ACC0391</t>
  </si>
  <si>
    <t xml:space="preserve">ACC0392</t>
  </si>
  <si>
    <t xml:space="preserve">ACC0393</t>
  </si>
  <si>
    <t xml:space="preserve">ACC0394</t>
  </si>
  <si>
    <t xml:space="preserve">ACC0395</t>
  </si>
  <si>
    <t xml:space="preserve">ACC0396</t>
  </si>
  <si>
    <t xml:space="preserve">ACC0397</t>
  </si>
  <si>
    <t xml:space="preserve">ACC0398</t>
  </si>
  <si>
    <t xml:space="preserve">ACC0399</t>
  </si>
  <si>
    <t xml:space="preserve">ACC0400</t>
  </si>
  <si>
    <t xml:space="preserve">ACC0401</t>
  </si>
  <si>
    <t xml:space="preserve">ACC0402</t>
  </si>
  <si>
    <t xml:space="preserve">ACC0403</t>
  </si>
  <si>
    <t xml:space="preserve">ACC0404</t>
  </si>
  <si>
    <t xml:space="preserve">ACC0405</t>
  </si>
  <si>
    <t xml:space="preserve">ACC0406</t>
  </si>
  <si>
    <t xml:space="preserve">ACC0407</t>
  </si>
  <si>
    <t xml:space="preserve">ACC0408</t>
  </si>
  <si>
    <t xml:space="preserve">ACC0409</t>
  </si>
  <si>
    <t xml:space="preserve">ACC0410</t>
  </si>
  <si>
    <t xml:space="preserve">ACC0411</t>
  </si>
  <si>
    <t xml:space="preserve">ACC0412</t>
  </si>
  <si>
    <t xml:space="preserve">ACC0413</t>
  </si>
  <si>
    <t xml:space="preserve">ACC0414</t>
  </si>
  <si>
    <t xml:space="preserve">ACC0415</t>
  </si>
  <si>
    <t xml:space="preserve">ACC0416</t>
  </si>
  <si>
    <t xml:space="preserve">ACC0417</t>
  </si>
  <si>
    <t xml:space="preserve">ACC0418</t>
  </si>
  <si>
    <t xml:space="preserve">ACC0419</t>
  </si>
  <si>
    <t xml:space="preserve">ACC0420</t>
  </si>
  <si>
    <t xml:space="preserve">ACC0421</t>
  </si>
  <si>
    <t xml:space="preserve">ACC0422</t>
  </si>
  <si>
    <t xml:space="preserve">ACC0423</t>
  </si>
  <si>
    <t xml:space="preserve">ACC0424</t>
  </si>
  <si>
    <t xml:space="preserve">ACC0425</t>
  </si>
  <si>
    <t xml:space="preserve">ACC0426</t>
  </si>
  <si>
    <t xml:space="preserve">ACC0427</t>
  </si>
  <si>
    <t xml:space="preserve">ACC0428</t>
  </si>
  <si>
    <t xml:space="preserve">ACC0429</t>
  </si>
  <si>
    <t xml:space="preserve">ACC0430</t>
  </si>
  <si>
    <t xml:space="preserve">ACC0431</t>
  </si>
  <si>
    <t xml:space="preserve">ACC0432</t>
  </si>
  <si>
    <t xml:space="preserve">ACC0433</t>
  </si>
  <si>
    <t xml:space="preserve">ACC0434</t>
  </si>
  <si>
    <t xml:space="preserve">ACC0435</t>
  </si>
  <si>
    <t xml:space="preserve">ACC0436</t>
  </si>
  <si>
    <t xml:space="preserve">ACC0437</t>
  </si>
  <si>
    <t xml:space="preserve">ACC0438</t>
  </si>
  <si>
    <t xml:space="preserve">ACC0439</t>
  </si>
  <si>
    <t xml:space="preserve">ACC0440</t>
  </si>
  <si>
    <t xml:space="preserve">ACC0441</t>
  </si>
  <si>
    <t xml:space="preserve">ACC0442</t>
  </si>
  <si>
    <t xml:space="preserve">ACC0443</t>
  </si>
  <si>
    <t xml:space="preserve">ACC0444</t>
  </si>
  <si>
    <t xml:space="preserve">ACC0445</t>
  </si>
  <si>
    <t xml:space="preserve">ACC0446</t>
  </si>
  <si>
    <t xml:space="preserve">ACC0447</t>
  </si>
  <si>
    <t xml:space="preserve">ACC0448</t>
  </si>
  <si>
    <t xml:space="preserve">ACC0449</t>
  </si>
  <si>
    <t xml:space="preserve">ACC0450</t>
  </si>
  <si>
    <t xml:space="preserve">ACC0451</t>
  </si>
  <si>
    <t xml:space="preserve">ACC0452</t>
  </si>
  <si>
    <t xml:space="preserve">ACC0453</t>
  </si>
  <si>
    <t xml:space="preserve">ACC0454</t>
  </si>
  <si>
    <t xml:space="preserve">ACC0455</t>
  </si>
  <si>
    <t xml:space="preserve">ACC0456</t>
  </si>
  <si>
    <t xml:space="preserve">ACC0457</t>
  </si>
  <si>
    <t xml:space="preserve">ACC0458</t>
  </si>
  <si>
    <t xml:space="preserve">ACC0459</t>
  </si>
  <si>
    <t xml:space="preserve">ACC0460</t>
  </si>
  <si>
    <t xml:space="preserve">ACC0461</t>
  </si>
  <si>
    <t xml:space="preserve">ACC0462</t>
  </si>
  <si>
    <t xml:space="preserve">ACC0463</t>
  </si>
  <si>
    <t xml:space="preserve">ACC0464</t>
  </si>
  <si>
    <t xml:space="preserve">ACC0465</t>
  </si>
  <si>
    <t xml:space="preserve">ACC0466</t>
  </si>
  <si>
    <t xml:space="preserve">ACC0467</t>
  </si>
  <si>
    <t xml:space="preserve">ACC0468</t>
  </si>
  <si>
    <t xml:space="preserve">ACC0469</t>
  </si>
  <si>
    <t xml:space="preserve">ACC0470</t>
  </si>
  <si>
    <t xml:space="preserve">ACC0471</t>
  </si>
  <si>
    <t xml:space="preserve">ACC0472</t>
  </si>
  <si>
    <t xml:space="preserve">ACC0473</t>
  </si>
  <si>
    <t xml:space="preserve">ACC0474</t>
  </si>
  <si>
    <t xml:space="preserve">ACC0475</t>
  </si>
  <si>
    <t xml:space="preserve">ACC0476</t>
  </si>
  <si>
    <t xml:space="preserve">ACC0477</t>
  </si>
  <si>
    <t xml:space="preserve">ACC0478</t>
  </si>
  <si>
    <t xml:space="preserve">ACC0479</t>
  </si>
  <si>
    <t xml:space="preserve">ACC0480</t>
  </si>
  <si>
    <t xml:space="preserve">ACC0481</t>
  </si>
  <si>
    <t xml:space="preserve">ACC0482</t>
  </si>
  <si>
    <t xml:space="preserve">ACC0483</t>
  </si>
  <si>
    <t xml:space="preserve">ACC0484</t>
  </si>
  <si>
    <t xml:space="preserve">ACC0485</t>
  </si>
  <si>
    <t xml:space="preserve">ACC0486</t>
  </si>
  <si>
    <t xml:space="preserve">ACC0487</t>
  </si>
  <si>
    <t xml:space="preserve">ACC0488</t>
  </si>
  <si>
    <t xml:space="preserve">ACC0489</t>
  </si>
  <si>
    <t xml:space="preserve">ACC0490</t>
  </si>
  <si>
    <t xml:space="preserve">ACC0491</t>
  </si>
  <si>
    <t xml:space="preserve">ACC0492</t>
  </si>
  <si>
    <t xml:space="preserve">ACC0493</t>
  </si>
  <si>
    <t xml:space="preserve">ACC0494</t>
  </si>
  <si>
    <t xml:space="preserve">ACC0495</t>
  </si>
  <si>
    <t xml:space="preserve">ACC0496</t>
  </si>
  <si>
    <t xml:space="preserve">ACC0497</t>
  </si>
  <si>
    <t xml:space="preserve">ACC0498</t>
  </si>
  <si>
    <t xml:space="preserve">ACC0499</t>
  </si>
  <si>
    <t xml:space="preserve">ACC0500</t>
  </si>
  <si>
    <t xml:space="preserve">ACC0501</t>
  </si>
  <si>
    <t xml:space="preserve">ACC0502</t>
  </si>
  <si>
    <t xml:space="preserve">ACC0503</t>
  </si>
  <si>
    <t xml:space="preserve">ACC0504</t>
  </si>
  <si>
    <t xml:space="preserve">ACC0505</t>
  </si>
  <si>
    <t xml:space="preserve">ACC0506</t>
  </si>
  <si>
    <t xml:space="preserve">ACC0507</t>
  </si>
  <si>
    <t xml:space="preserve">ACC0508</t>
  </si>
  <si>
    <t xml:space="preserve">ACC0509</t>
  </si>
  <si>
    <t xml:space="preserve">ACC0510</t>
  </si>
  <si>
    <t xml:space="preserve">ACC0511</t>
  </si>
  <si>
    <t xml:space="preserve">ACC0512</t>
  </si>
  <si>
    <t xml:space="preserve">ACC0513</t>
  </si>
  <si>
    <t xml:space="preserve">ACC0514</t>
  </si>
  <si>
    <t xml:space="preserve">ACC0515</t>
  </si>
  <si>
    <t xml:space="preserve">ACC0516</t>
  </si>
  <si>
    <t xml:space="preserve">ACC0517</t>
  </si>
  <si>
    <t xml:space="preserve">ACC0518</t>
  </si>
  <si>
    <t xml:space="preserve">ACC0519</t>
  </si>
  <si>
    <t xml:space="preserve">ACC0520</t>
  </si>
  <si>
    <t xml:space="preserve">ACC0521</t>
  </si>
  <si>
    <t xml:space="preserve">ACC0522</t>
  </si>
  <si>
    <t xml:space="preserve">ACC0523</t>
  </si>
  <si>
    <t xml:space="preserve">ACC0524</t>
  </si>
  <si>
    <t xml:space="preserve">ACC0525</t>
  </si>
  <si>
    <t xml:space="preserve">ACC0526</t>
  </si>
  <si>
    <t xml:space="preserve">ACC0527</t>
  </si>
  <si>
    <t xml:space="preserve">ACC0528</t>
  </si>
  <si>
    <t xml:space="preserve">ACC0529</t>
  </si>
  <si>
    <t xml:space="preserve">ACC0530</t>
  </si>
  <si>
    <t xml:space="preserve">ACC0531</t>
  </si>
  <si>
    <t xml:space="preserve">ACC0532</t>
  </si>
  <si>
    <t xml:space="preserve">ACC0533</t>
  </si>
  <si>
    <t xml:space="preserve">ACC0534</t>
  </si>
  <si>
    <t xml:space="preserve">ACC0535</t>
  </si>
  <si>
    <t xml:space="preserve">ACC0536</t>
  </si>
  <si>
    <t xml:space="preserve">ACC0537</t>
  </si>
  <si>
    <t xml:space="preserve">ACC0538</t>
  </si>
  <si>
    <t xml:space="preserve">ACC0539</t>
  </si>
  <si>
    <t xml:space="preserve">ACC0540</t>
  </si>
  <si>
    <t xml:space="preserve">ACC0541</t>
  </si>
  <si>
    <t xml:space="preserve">ACC0542</t>
  </si>
  <si>
    <t xml:space="preserve">ACC0543</t>
  </si>
  <si>
    <t xml:space="preserve">ACC0544</t>
  </si>
  <si>
    <t xml:space="preserve">ACC0545</t>
  </si>
  <si>
    <t xml:space="preserve">ACC0546</t>
  </si>
  <si>
    <t xml:space="preserve">ACC0547</t>
  </si>
  <si>
    <t xml:space="preserve">ACC0548</t>
  </si>
  <si>
    <t xml:space="preserve">ACC0549</t>
  </si>
  <si>
    <t xml:space="preserve">ACC0550</t>
  </si>
  <si>
    <t xml:space="preserve">ACC0551</t>
  </si>
  <si>
    <t xml:space="preserve">ACC0552</t>
  </si>
  <si>
    <t xml:space="preserve">ACC0553</t>
  </si>
  <si>
    <t xml:space="preserve">ACC0554</t>
  </si>
  <si>
    <t xml:space="preserve">ACC0555</t>
  </si>
  <si>
    <t xml:space="preserve">ACC0556</t>
  </si>
  <si>
    <t xml:space="preserve">ACC0557</t>
  </si>
  <si>
    <t xml:space="preserve">ACC0558</t>
  </si>
  <si>
    <t xml:space="preserve">ACC0559</t>
  </si>
  <si>
    <t xml:space="preserve">ACC0560</t>
  </si>
  <si>
    <t xml:space="preserve">ACC0561</t>
  </si>
  <si>
    <t xml:space="preserve">ACC0562</t>
  </si>
  <si>
    <t xml:space="preserve">ACC0563</t>
  </si>
  <si>
    <t xml:space="preserve">ACC0564</t>
  </si>
  <si>
    <t xml:space="preserve">ACC0565</t>
  </si>
  <si>
    <t xml:space="preserve">ACC0566</t>
  </si>
  <si>
    <t xml:space="preserve">ACC0567</t>
  </si>
  <si>
    <t xml:space="preserve">ACC0568</t>
  </si>
  <si>
    <t xml:space="preserve">ACC0569</t>
  </si>
  <si>
    <t xml:space="preserve">ACC0570</t>
  </si>
  <si>
    <t xml:space="preserve">ACC0571</t>
  </si>
  <si>
    <t xml:space="preserve">ACC0572</t>
  </si>
  <si>
    <t xml:space="preserve">ACC0573</t>
  </si>
  <si>
    <t xml:space="preserve">ACC0574</t>
  </si>
  <si>
    <t xml:space="preserve">ACC0575</t>
  </si>
  <si>
    <t xml:space="preserve">ACC0576</t>
  </si>
  <si>
    <t xml:space="preserve">ACC0577</t>
  </si>
  <si>
    <t xml:space="preserve">ACC0578</t>
  </si>
  <si>
    <t xml:space="preserve">ACC0579</t>
  </si>
  <si>
    <t xml:space="preserve">ACC0580</t>
  </si>
  <si>
    <t xml:space="preserve">ACC0581</t>
  </si>
  <si>
    <t xml:space="preserve">ACC0582</t>
  </si>
  <si>
    <t xml:space="preserve">ACC0583</t>
  </si>
  <si>
    <t xml:space="preserve">ACC0584</t>
  </si>
  <si>
    <t xml:space="preserve">ACC0585</t>
  </si>
  <si>
    <t xml:space="preserve">ACC0586</t>
  </si>
  <si>
    <t xml:space="preserve">ACC0587</t>
  </si>
  <si>
    <t xml:space="preserve">ACC0588</t>
  </si>
  <si>
    <t xml:space="preserve">ACC0589</t>
  </si>
  <si>
    <t xml:space="preserve">ACC0590</t>
  </si>
  <si>
    <t xml:space="preserve">ACC0591</t>
  </si>
  <si>
    <t xml:space="preserve">ACC0592</t>
  </si>
  <si>
    <t xml:space="preserve">ACC0593</t>
  </si>
  <si>
    <t xml:space="preserve">ACC0594</t>
  </si>
  <si>
    <t xml:space="preserve">ACC0595</t>
  </si>
  <si>
    <t xml:space="preserve">ACC0596</t>
  </si>
  <si>
    <t xml:space="preserve">ACC0597</t>
  </si>
  <si>
    <t xml:space="preserve">ACC0598</t>
  </si>
  <si>
    <t xml:space="preserve">ACC0599</t>
  </si>
  <si>
    <t xml:space="preserve">ACC0600</t>
  </si>
  <si>
    <t xml:space="preserve">ACC0601</t>
  </si>
  <si>
    <t xml:space="preserve">ACC0602</t>
  </si>
  <si>
    <t xml:space="preserve">ACC0603</t>
  </si>
  <si>
    <t xml:space="preserve">ACC0604</t>
  </si>
  <si>
    <t xml:space="preserve">ACC0605</t>
  </si>
  <si>
    <t xml:space="preserve">ACC0606</t>
  </si>
  <si>
    <t xml:space="preserve">ACC0607</t>
  </si>
  <si>
    <t xml:space="preserve">ACC0608</t>
  </si>
  <si>
    <t xml:space="preserve">ACC0609</t>
  </si>
  <si>
    <t xml:space="preserve">ACC0610</t>
  </si>
  <si>
    <t xml:space="preserve">ACC0611</t>
  </si>
  <si>
    <t xml:space="preserve">ACC0612</t>
  </si>
  <si>
    <t xml:space="preserve">ACC0613</t>
  </si>
  <si>
    <t xml:space="preserve">ACC0614</t>
  </si>
  <si>
    <t xml:space="preserve">ACC0615</t>
  </si>
  <si>
    <t xml:space="preserve">ACC0616</t>
  </si>
  <si>
    <t xml:space="preserve">ACC0617</t>
  </si>
  <si>
    <t xml:space="preserve">ACC0618</t>
  </si>
  <si>
    <t xml:space="preserve">ACC0619</t>
  </si>
  <si>
    <t xml:space="preserve">ACC0620</t>
  </si>
  <si>
    <t xml:space="preserve">Rep ID</t>
  </si>
  <si>
    <t xml:space="preserve">Rep Name</t>
  </si>
  <si>
    <t xml:space="preserve">Orig. Account Count</t>
  </si>
  <si>
    <t xml:space="preserve">Orig. Revenue Potential ($)</t>
  </si>
  <si>
    <t xml:space="preserve">Rebal. Account Count</t>
  </si>
  <si>
    <t xml:space="preserve">Rebal. Revenue Potential ($)</t>
  </si>
  <si>
    <t xml:space="preserve">Change in Accounts</t>
  </si>
  <si>
    <t xml:space="preserve">Change in Revenue ($)</t>
  </si>
  <si>
    <t xml:space="preserve">Metric</t>
  </si>
  <si>
    <t xml:space="preserve">Before (Original)</t>
  </si>
  <si>
    <t xml:space="preserve">After (Rebalanced)</t>
  </si>
  <si>
    <t xml:space="preserve">Rep_01</t>
  </si>
  <si>
    <t xml:space="preserve">Avg. Revenue Potential / Rep</t>
  </si>
  <si>
    <t xml:space="preserve">Rep_02</t>
  </si>
  <si>
    <t xml:space="preserve">Std Dev of Revenue Potential</t>
  </si>
  <si>
    <t xml:space="preserve">Rep_03</t>
  </si>
  <si>
    <t xml:space="preserve">Coefficient of Variation</t>
  </si>
  <si>
    <t xml:space="preserve">Rep_04</t>
  </si>
  <si>
    <t xml:space="preserve">Variance Reduction (Std Dev)</t>
  </si>
  <si>
    <t xml:space="preserve">Rep_05</t>
  </si>
  <si>
    <t xml:space="preserve">Reps Over Capacity (&gt;12 accts)</t>
  </si>
  <si>
    <t xml:space="preserve">Rep_06</t>
  </si>
  <si>
    <t xml:space="preserve">Total Excess Load (accts over 12)</t>
  </si>
  <si>
    <t xml:space="preserve">Rep_07</t>
  </si>
  <si>
    <t xml:space="preserve">Heaviest Rep's Load</t>
  </si>
  <si>
    <t xml:space="preserve">Rep_08</t>
  </si>
  <si>
    <t xml:space="preserve">Rep_09</t>
  </si>
  <si>
    <t xml:space="preserve">Rep_10</t>
  </si>
  <si>
    <t xml:space="preserve">Rep_11</t>
  </si>
  <si>
    <t xml:space="preserve">Rep_12</t>
  </si>
  <si>
    <t xml:space="preserve">Rep_13</t>
  </si>
  <si>
    <t xml:space="preserve">Rep_14</t>
  </si>
  <si>
    <t xml:space="preserve">Rep_15</t>
  </si>
  <si>
    <t xml:space="preserve">Rep_16</t>
  </si>
  <si>
    <t xml:space="preserve">Rep_17</t>
  </si>
  <si>
    <t xml:space="preserve">Rep_18</t>
  </si>
  <si>
    <t xml:space="preserve">Rep_19</t>
  </si>
  <si>
    <t xml:space="preserve">Rep_20</t>
  </si>
  <si>
    <t xml:space="preserve">Rep_21</t>
  </si>
  <si>
    <t xml:space="preserve">Rep_22</t>
  </si>
  <si>
    <t xml:space="preserve">Rep_23</t>
  </si>
  <si>
    <t xml:space="preserve">Rep_24</t>
  </si>
  <si>
    <t xml:space="preserve">Rep_25</t>
  </si>
  <si>
    <t xml:space="preserve">Rep_26</t>
  </si>
  <si>
    <t xml:space="preserve">Rep_27</t>
  </si>
  <si>
    <t xml:space="preserve">Rep_28</t>
  </si>
  <si>
    <t xml:space="preserve">Rep_29</t>
  </si>
  <si>
    <t xml:space="preserve">Rep_30</t>
  </si>
  <si>
    <t xml:space="preserve">Rep_31</t>
  </si>
  <si>
    <t xml:space="preserve">Rep_32</t>
  </si>
  <si>
    <t xml:space="preserve">Rep_33</t>
  </si>
  <si>
    <t xml:space="preserve">Rep_34</t>
  </si>
  <si>
    <t xml:space="preserve">Rep_35</t>
  </si>
  <si>
    <t xml:space="preserve">Rep_36</t>
  </si>
  <si>
    <t xml:space="preserve">Rep_37</t>
  </si>
  <si>
    <t xml:space="preserve">Rep_38</t>
  </si>
  <si>
    <t xml:space="preserve">Rep_39</t>
  </si>
  <si>
    <t xml:space="preserve">Rep_40</t>
  </si>
  <si>
    <t xml:space="preserve">Rep_41</t>
  </si>
  <si>
    <t xml:space="preserve">Rep_42</t>
  </si>
  <si>
    <t xml:space="preserve">Rep_43</t>
  </si>
  <si>
    <t xml:space="preserve">Rep_44</t>
  </si>
  <si>
    <t xml:space="preserve">Rep_45</t>
  </si>
  <si>
    <t xml:space="preserve">Rep_46</t>
  </si>
  <si>
    <t xml:space="preserve">Rep_47</t>
  </si>
  <si>
    <t xml:space="preserve">Rep_48</t>
  </si>
  <si>
    <t xml:space="preserve">Rep_49</t>
  </si>
  <si>
    <t xml:space="preserve">Rep_50</t>
  </si>
  <si>
    <t xml:space="preserve">Pharma Sales Territory &amp; Rep Performance Dashboard</t>
  </si>
  <si>
    <t xml:space="preserve">Rebalancing 620 accounts across 50 reps using account-value segmentation</t>
  </si>
  <si>
    <t xml:space="preserve">Workload Std Dev — Before</t>
  </si>
  <si>
    <t xml:space="preserve">Workload Std Dev — After</t>
  </si>
  <si>
    <t xml:space="preserve">Variance Reduction</t>
  </si>
  <si>
    <t xml:space="preserve">Reps Over Capacity — Before</t>
  </si>
  <si>
    <t xml:space="preserve">Reps Over Capacity — After</t>
  </si>
  <si>
    <t xml:space="preserve">⚠ See note below</t>
  </si>
  <si>
    <t xml:space="preserve">"Reps over capacity" rises 19→24, but total excess load (below) falls 62% — see note.</t>
  </si>
  <si>
    <t xml:space="preserve">Total Excess Load — Before</t>
  </si>
  <si>
    <t xml:space="preserve">Total Excess Load — After</t>
  </si>
  <si>
    <t xml:space="preserve">Excess Load Reduction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</si>
</sst>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\$#,##0;[RED]&quot;-$&quot;#,##0"/>
    <numFmt numFmtId="167" formatCode="0.0%"/>
    <numFmt numFmtId="168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i val="true"/>
      <sz val="8"/>
      <color rgb="FFB03A2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B03A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 Workload ($ Revenue Potential) — Before vs After Rebalancing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Rep_Summary!E1</c:f>
              <c:strCache>
                <c:ptCount val="1"/>
                <c:pt idx="0">
                  <c:v>Orig. Revenue Potential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Rep_Summary!$B$2:$B$51</c:f>
              <c:strCache>
                <c:ptCount val="50"/>
                <c:pt idx="0">
                  <c:v>Rep_01</c:v>
                </c:pt>
                <c:pt idx="1">
                  <c:v>Rep_02</c:v>
                </c:pt>
                <c:pt idx="2">
                  <c:v>Rep_03</c:v>
                </c:pt>
                <c:pt idx="3">
                  <c:v>Rep_04</c:v>
                </c:pt>
                <c:pt idx="4">
                  <c:v>Rep_05</c:v>
                </c:pt>
                <c:pt idx="5">
                  <c:v>Rep_06</c:v>
                </c:pt>
                <c:pt idx="6">
                  <c:v>Rep_07</c:v>
                </c:pt>
                <c:pt idx="7">
                  <c:v>Rep_08</c:v>
                </c:pt>
                <c:pt idx="8">
                  <c:v>Rep_09</c:v>
                </c:pt>
                <c:pt idx="9">
                  <c:v>Rep_10</c:v>
                </c:pt>
                <c:pt idx="10">
                  <c:v>Rep_11</c:v>
                </c:pt>
                <c:pt idx="11">
                  <c:v>Rep_12</c:v>
                </c:pt>
                <c:pt idx="12">
                  <c:v>Rep_13</c:v>
                </c:pt>
                <c:pt idx="13">
                  <c:v>Rep_14</c:v>
                </c:pt>
                <c:pt idx="14">
                  <c:v>Rep_15</c:v>
                </c:pt>
                <c:pt idx="15">
                  <c:v>Rep_16</c:v>
                </c:pt>
                <c:pt idx="16">
                  <c:v>Rep_17</c:v>
                </c:pt>
                <c:pt idx="17">
                  <c:v>Rep_18</c:v>
                </c:pt>
                <c:pt idx="18">
                  <c:v>Rep_19</c:v>
                </c:pt>
                <c:pt idx="19">
                  <c:v>Rep_20</c:v>
                </c:pt>
                <c:pt idx="20">
                  <c:v>Rep_21</c:v>
                </c:pt>
                <c:pt idx="21">
                  <c:v>Rep_22</c:v>
                </c:pt>
                <c:pt idx="22">
                  <c:v>Rep_23</c:v>
                </c:pt>
                <c:pt idx="23">
                  <c:v>Rep_24</c:v>
                </c:pt>
                <c:pt idx="24">
                  <c:v>Rep_25</c:v>
                </c:pt>
                <c:pt idx="25">
                  <c:v>Rep_26</c:v>
                </c:pt>
                <c:pt idx="26">
                  <c:v>Rep_27</c:v>
                </c:pt>
                <c:pt idx="27">
                  <c:v>Rep_28</c:v>
                </c:pt>
                <c:pt idx="28">
                  <c:v>Rep_29</c:v>
                </c:pt>
                <c:pt idx="29">
                  <c:v>Rep_30</c:v>
                </c:pt>
                <c:pt idx="30">
                  <c:v>Rep_31</c:v>
                </c:pt>
                <c:pt idx="31">
                  <c:v>Rep_32</c:v>
                </c:pt>
                <c:pt idx="32">
                  <c:v>Rep_33</c:v>
                </c:pt>
                <c:pt idx="33">
                  <c:v>Rep_34</c:v>
                </c:pt>
                <c:pt idx="34">
                  <c:v>Rep_35</c:v>
                </c:pt>
                <c:pt idx="35">
                  <c:v>Rep_36</c:v>
                </c:pt>
                <c:pt idx="36">
                  <c:v>Rep_37</c:v>
                </c:pt>
                <c:pt idx="37">
                  <c:v>Rep_38</c:v>
                </c:pt>
                <c:pt idx="38">
                  <c:v>Rep_39</c:v>
                </c:pt>
                <c:pt idx="39">
                  <c:v>Rep_40</c:v>
                </c:pt>
                <c:pt idx="40">
                  <c:v>Rep_41</c:v>
                </c:pt>
                <c:pt idx="41">
                  <c:v>Rep_42</c:v>
                </c:pt>
                <c:pt idx="42">
                  <c:v>Rep_43</c:v>
                </c:pt>
                <c:pt idx="43">
                  <c:v>Rep_44</c:v>
                </c:pt>
                <c:pt idx="44">
                  <c:v>Rep_45</c:v>
                </c:pt>
                <c:pt idx="45">
                  <c:v>Rep_46</c:v>
                </c:pt>
                <c:pt idx="46">
                  <c:v>Rep_47</c:v>
                </c:pt>
                <c:pt idx="47">
                  <c:v>Rep_48</c:v>
                </c:pt>
                <c:pt idx="48">
                  <c:v>Rep_49</c:v>
                </c:pt>
                <c:pt idx="49">
                  <c:v>Rep_50</c:v>
                </c:pt>
              </c:strCache>
            </c:strRef>
          </c:cat>
          <c:val>
            <c:numRef>
              <c:f>Rep_Summary!$E$2:$E$51</c:f>
              <c:numCache>
                <c:formatCode>\$#,##0</c:formatCode>
                <c:ptCount val="50"/>
                <c:pt idx="0">
                  <c:v>158400</c:v>
                </c:pt>
                <c:pt idx="1">
                  <c:v>182500</c:v>
                </c:pt>
                <c:pt idx="2">
                  <c:v>143000</c:v>
                </c:pt>
                <c:pt idx="3">
                  <c:v>115600</c:v>
                </c:pt>
                <c:pt idx="4">
                  <c:v>247000</c:v>
                </c:pt>
                <c:pt idx="5">
                  <c:v>129900</c:v>
                </c:pt>
                <c:pt idx="6">
                  <c:v>119200</c:v>
                </c:pt>
                <c:pt idx="7">
                  <c:v>183400</c:v>
                </c:pt>
                <c:pt idx="8">
                  <c:v>118900</c:v>
                </c:pt>
                <c:pt idx="9">
                  <c:v>89600</c:v>
                </c:pt>
                <c:pt idx="10">
                  <c:v>195700</c:v>
                </c:pt>
                <c:pt idx="11">
                  <c:v>149900</c:v>
                </c:pt>
                <c:pt idx="12">
                  <c:v>134700</c:v>
                </c:pt>
                <c:pt idx="13">
                  <c:v>93100</c:v>
                </c:pt>
                <c:pt idx="14">
                  <c:v>162900</c:v>
                </c:pt>
                <c:pt idx="15">
                  <c:v>176900</c:v>
                </c:pt>
                <c:pt idx="16">
                  <c:v>131300</c:v>
                </c:pt>
                <c:pt idx="17">
                  <c:v>100300</c:v>
                </c:pt>
                <c:pt idx="18">
                  <c:v>142700</c:v>
                </c:pt>
                <c:pt idx="19">
                  <c:v>200300</c:v>
                </c:pt>
                <c:pt idx="20">
                  <c:v>108300</c:v>
                </c:pt>
                <c:pt idx="21">
                  <c:v>12700</c:v>
                </c:pt>
                <c:pt idx="22">
                  <c:v>55500</c:v>
                </c:pt>
                <c:pt idx="23">
                  <c:v>82800</c:v>
                </c:pt>
                <c:pt idx="24">
                  <c:v>111100</c:v>
                </c:pt>
                <c:pt idx="25">
                  <c:v>82900</c:v>
                </c:pt>
                <c:pt idx="26">
                  <c:v>103200</c:v>
                </c:pt>
                <c:pt idx="27">
                  <c:v>111500</c:v>
                </c:pt>
                <c:pt idx="28">
                  <c:v>72600</c:v>
                </c:pt>
                <c:pt idx="29">
                  <c:v>130500</c:v>
                </c:pt>
                <c:pt idx="30">
                  <c:v>70600</c:v>
                </c:pt>
                <c:pt idx="31">
                  <c:v>167700</c:v>
                </c:pt>
                <c:pt idx="32">
                  <c:v>72600</c:v>
                </c:pt>
                <c:pt idx="33">
                  <c:v>62600</c:v>
                </c:pt>
                <c:pt idx="34">
                  <c:v>73000</c:v>
                </c:pt>
                <c:pt idx="35">
                  <c:v>78200</c:v>
                </c:pt>
                <c:pt idx="36">
                  <c:v>110300</c:v>
                </c:pt>
                <c:pt idx="37">
                  <c:v>68100</c:v>
                </c:pt>
                <c:pt idx="38">
                  <c:v>151800</c:v>
                </c:pt>
                <c:pt idx="39">
                  <c:v>116200</c:v>
                </c:pt>
                <c:pt idx="40">
                  <c:v>129500</c:v>
                </c:pt>
                <c:pt idx="41">
                  <c:v>108400</c:v>
                </c:pt>
                <c:pt idx="42">
                  <c:v>64900</c:v>
                </c:pt>
                <c:pt idx="43">
                  <c:v>76400</c:v>
                </c:pt>
                <c:pt idx="44">
                  <c:v>56600</c:v>
                </c:pt>
                <c:pt idx="45">
                  <c:v>99200</c:v>
                </c:pt>
                <c:pt idx="46">
                  <c:v>55200</c:v>
                </c:pt>
                <c:pt idx="47">
                  <c:v>61200</c:v>
                </c:pt>
                <c:pt idx="48">
                  <c:v>119800</c:v>
                </c:pt>
                <c:pt idx="49">
                  <c:v>49100</c:v>
                </c:pt>
              </c:numCache>
            </c:numRef>
          </c:val>
        </c:ser>
        <c:ser>
          <c:idx val="1"/>
          <c:order val="1"/>
          <c:tx>
            <c:strRef>
              <c:f>Rep_Summary!G1</c:f>
              <c:strCache>
                <c:ptCount val="1"/>
                <c:pt idx="0">
                  <c:v>Rebal. Revenue Potential ($)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Rep_Summary!$B$2:$B$51</c:f>
              <c:strCache>
                <c:ptCount val="50"/>
                <c:pt idx="0">
                  <c:v>Rep_01</c:v>
                </c:pt>
                <c:pt idx="1">
                  <c:v>Rep_02</c:v>
                </c:pt>
                <c:pt idx="2">
                  <c:v>Rep_03</c:v>
                </c:pt>
                <c:pt idx="3">
                  <c:v>Rep_04</c:v>
                </c:pt>
                <c:pt idx="4">
                  <c:v>Rep_05</c:v>
                </c:pt>
                <c:pt idx="5">
                  <c:v>Rep_06</c:v>
                </c:pt>
                <c:pt idx="6">
                  <c:v>Rep_07</c:v>
                </c:pt>
                <c:pt idx="7">
                  <c:v>Rep_08</c:v>
                </c:pt>
                <c:pt idx="8">
                  <c:v>Rep_09</c:v>
                </c:pt>
                <c:pt idx="9">
                  <c:v>Rep_10</c:v>
                </c:pt>
                <c:pt idx="10">
                  <c:v>Rep_11</c:v>
                </c:pt>
                <c:pt idx="11">
                  <c:v>Rep_12</c:v>
                </c:pt>
                <c:pt idx="12">
                  <c:v>Rep_13</c:v>
                </c:pt>
                <c:pt idx="13">
                  <c:v>Rep_14</c:v>
                </c:pt>
                <c:pt idx="14">
                  <c:v>Rep_15</c:v>
                </c:pt>
                <c:pt idx="15">
                  <c:v>Rep_16</c:v>
                </c:pt>
                <c:pt idx="16">
                  <c:v>Rep_17</c:v>
                </c:pt>
                <c:pt idx="17">
                  <c:v>Rep_18</c:v>
                </c:pt>
                <c:pt idx="18">
                  <c:v>Rep_19</c:v>
                </c:pt>
                <c:pt idx="19">
                  <c:v>Rep_20</c:v>
                </c:pt>
                <c:pt idx="20">
                  <c:v>Rep_21</c:v>
                </c:pt>
                <c:pt idx="21">
                  <c:v>Rep_22</c:v>
                </c:pt>
                <c:pt idx="22">
                  <c:v>Rep_23</c:v>
                </c:pt>
                <c:pt idx="23">
                  <c:v>Rep_24</c:v>
                </c:pt>
                <c:pt idx="24">
                  <c:v>Rep_25</c:v>
                </c:pt>
                <c:pt idx="25">
                  <c:v>Rep_26</c:v>
                </c:pt>
                <c:pt idx="26">
                  <c:v>Rep_27</c:v>
                </c:pt>
                <c:pt idx="27">
                  <c:v>Rep_28</c:v>
                </c:pt>
                <c:pt idx="28">
                  <c:v>Rep_29</c:v>
                </c:pt>
                <c:pt idx="29">
                  <c:v>Rep_30</c:v>
                </c:pt>
                <c:pt idx="30">
                  <c:v>Rep_31</c:v>
                </c:pt>
                <c:pt idx="31">
                  <c:v>Rep_32</c:v>
                </c:pt>
                <c:pt idx="32">
                  <c:v>Rep_33</c:v>
                </c:pt>
                <c:pt idx="33">
                  <c:v>Rep_34</c:v>
                </c:pt>
                <c:pt idx="34">
                  <c:v>Rep_35</c:v>
                </c:pt>
                <c:pt idx="35">
                  <c:v>Rep_36</c:v>
                </c:pt>
                <c:pt idx="36">
                  <c:v>Rep_37</c:v>
                </c:pt>
                <c:pt idx="37">
                  <c:v>Rep_38</c:v>
                </c:pt>
                <c:pt idx="38">
                  <c:v>Rep_39</c:v>
                </c:pt>
                <c:pt idx="39">
                  <c:v>Rep_40</c:v>
                </c:pt>
                <c:pt idx="40">
                  <c:v>Rep_41</c:v>
                </c:pt>
                <c:pt idx="41">
                  <c:v>Rep_42</c:v>
                </c:pt>
                <c:pt idx="42">
                  <c:v>Rep_43</c:v>
                </c:pt>
                <c:pt idx="43">
                  <c:v>Rep_44</c:v>
                </c:pt>
                <c:pt idx="44">
                  <c:v>Rep_45</c:v>
                </c:pt>
                <c:pt idx="45">
                  <c:v>Rep_46</c:v>
                </c:pt>
                <c:pt idx="46">
                  <c:v>Rep_47</c:v>
                </c:pt>
                <c:pt idx="47">
                  <c:v>Rep_48</c:v>
                </c:pt>
                <c:pt idx="48">
                  <c:v>Rep_49</c:v>
                </c:pt>
                <c:pt idx="49">
                  <c:v>Rep_50</c:v>
                </c:pt>
              </c:strCache>
            </c:strRef>
          </c:cat>
          <c:val>
            <c:numRef>
              <c:f>Rep_Summary!$G$2:$G$51</c:f>
              <c:numCache>
                <c:formatCode>\$#,##0</c:formatCode>
                <c:ptCount val="50"/>
                <c:pt idx="0">
                  <c:v>140100</c:v>
                </c:pt>
                <c:pt idx="1">
                  <c:v>141900</c:v>
                </c:pt>
                <c:pt idx="2">
                  <c:v>124300</c:v>
                </c:pt>
                <c:pt idx="3">
                  <c:v>115600</c:v>
                </c:pt>
                <c:pt idx="4">
                  <c:v>192300</c:v>
                </c:pt>
                <c:pt idx="5">
                  <c:v>129900</c:v>
                </c:pt>
                <c:pt idx="6">
                  <c:v>119200</c:v>
                </c:pt>
                <c:pt idx="7">
                  <c:v>131400</c:v>
                </c:pt>
                <c:pt idx="8">
                  <c:v>118900</c:v>
                </c:pt>
                <c:pt idx="9">
                  <c:v>89600</c:v>
                </c:pt>
                <c:pt idx="10">
                  <c:v>157200</c:v>
                </c:pt>
                <c:pt idx="11">
                  <c:v>133500</c:v>
                </c:pt>
                <c:pt idx="12">
                  <c:v>134700</c:v>
                </c:pt>
                <c:pt idx="13">
                  <c:v>93100</c:v>
                </c:pt>
                <c:pt idx="14">
                  <c:v>141200</c:v>
                </c:pt>
                <c:pt idx="15">
                  <c:v>148200</c:v>
                </c:pt>
                <c:pt idx="16">
                  <c:v>116700</c:v>
                </c:pt>
                <c:pt idx="17">
                  <c:v>100300</c:v>
                </c:pt>
                <c:pt idx="18">
                  <c:v>121900</c:v>
                </c:pt>
                <c:pt idx="19">
                  <c:v>184000</c:v>
                </c:pt>
                <c:pt idx="20">
                  <c:v>134400</c:v>
                </c:pt>
                <c:pt idx="21">
                  <c:v>67000</c:v>
                </c:pt>
                <c:pt idx="22">
                  <c:v>81700</c:v>
                </c:pt>
                <c:pt idx="23">
                  <c:v>91400</c:v>
                </c:pt>
                <c:pt idx="24">
                  <c:v>111100</c:v>
                </c:pt>
                <c:pt idx="25">
                  <c:v>102100</c:v>
                </c:pt>
                <c:pt idx="26">
                  <c:v>103200</c:v>
                </c:pt>
                <c:pt idx="27">
                  <c:v>111500</c:v>
                </c:pt>
                <c:pt idx="28">
                  <c:v>82300</c:v>
                </c:pt>
                <c:pt idx="29">
                  <c:v>130500</c:v>
                </c:pt>
                <c:pt idx="30">
                  <c:v>97000</c:v>
                </c:pt>
                <c:pt idx="31">
                  <c:v>167700</c:v>
                </c:pt>
                <c:pt idx="32">
                  <c:v>92100</c:v>
                </c:pt>
                <c:pt idx="33">
                  <c:v>74400</c:v>
                </c:pt>
                <c:pt idx="34">
                  <c:v>94700</c:v>
                </c:pt>
                <c:pt idx="35">
                  <c:v>92000</c:v>
                </c:pt>
                <c:pt idx="36">
                  <c:v>110300</c:v>
                </c:pt>
                <c:pt idx="37">
                  <c:v>68100</c:v>
                </c:pt>
                <c:pt idx="38">
                  <c:v>127600</c:v>
                </c:pt>
                <c:pt idx="39">
                  <c:v>116200</c:v>
                </c:pt>
                <c:pt idx="40">
                  <c:v>129500</c:v>
                </c:pt>
                <c:pt idx="41">
                  <c:v>108400</c:v>
                </c:pt>
                <c:pt idx="42">
                  <c:v>64900</c:v>
                </c:pt>
                <c:pt idx="43">
                  <c:v>91300</c:v>
                </c:pt>
                <c:pt idx="44">
                  <c:v>87100</c:v>
                </c:pt>
                <c:pt idx="45">
                  <c:v>99200</c:v>
                </c:pt>
                <c:pt idx="46">
                  <c:v>72500</c:v>
                </c:pt>
                <c:pt idx="47">
                  <c:v>86200</c:v>
                </c:pt>
                <c:pt idx="48">
                  <c:v>119800</c:v>
                </c:pt>
                <c:pt idx="49">
                  <c:v>89600</c:v>
                </c:pt>
              </c:numCache>
            </c:numRef>
          </c:val>
        </c:ser>
        <c:gapWidth val="150"/>
        <c:overlap val="0"/>
        <c:axId val="53329028"/>
        <c:axId val="4975492"/>
      </c:barChart>
      <c:catAx>
        <c:axId val="533290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5492"/>
        <c:crosses val="autoZero"/>
        <c:auto val="1"/>
        <c:lblAlgn val="ctr"/>
        <c:lblOffset val="100"/>
        <c:noMultiLvlLbl val="0"/>
      </c:catAx>
      <c:valAx>
        <c:axId val="49754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Potential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290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22680</xdr:rowOff>
    </xdr:from>
    <xdr:to>
      <xdr:col>7</xdr:col>
      <xdr:colOff>856080</xdr:colOff>
      <xdr:row>32</xdr:row>
      <xdr:rowOff>23760</xdr:rowOff>
    </xdr:to>
    <xdr:graphicFrame>
      <xdr:nvGraphicFramePr>
        <xdr:cNvPr id="0" name="Chart 1"/>
        <xdr:cNvGraphicFramePr/>
      </xdr:nvGraphicFramePr>
      <xdr:xfrm>
        <a:off x="611640" y="3809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n">
        <v>20500</v>
      </c>
      <c r="D2" s="2" t="n">
        <v>33</v>
      </c>
      <c r="E2" s="2" t="n">
        <v>33</v>
      </c>
    </row>
    <row r="3" customFormat="false" ht="15" hidden="false" customHeight="false" outlineLevel="0" collapsed="false">
      <c r="A3" s="2" t="s">
        <v>7</v>
      </c>
      <c r="B3" s="2" t="s">
        <v>8</v>
      </c>
      <c r="C3" s="3" t="n">
        <v>6300</v>
      </c>
      <c r="D3" s="2" t="n">
        <v>17</v>
      </c>
      <c r="E3" s="2" t="n">
        <v>17</v>
      </c>
    </row>
    <row r="4" customFormat="false" ht="15" hidden="false" customHeight="false" outlineLevel="0" collapsed="false">
      <c r="A4" s="2" t="s">
        <v>9</v>
      </c>
      <c r="B4" s="2" t="s">
        <v>10</v>
      </c>
      <c r="C4" s="3" t="n">
        <v>8300</v>
      </c>
      <c r="D4" s="2" t="n">
        <v>39</v>
      </c>
      <c r="E4" s="2" t="n">
        <v>39</v>
      </c>
    </row>
    <row r="5" customFormat="false" ht="15" hidden="false" customHeight="false" outlineLevel="0" collapsed="false">
      <c r="A5" s="2" t="s">
        <v>11</v>
      </c>
      <c r="B5" s="2" t="s">
        <v>12</v>
      </c>
      <c r="C5" s="3" t="n">
        <v>10100</v>
      </c>
      <c r="D5" s="2" t="n">
        <v>41</v>
      </c>
      <c r="E5" s="2" t="n">
        <v>41</v>
      </c>
    </row>
    <row r="6" customFormat="false" ht="15" hidden="false" customHeight="false" outlineLevel="0" collapsed="false">
      <c r="A6" s="2" t="s">
        <v>13</v>
      </c>
      <c r="B6" s="2" t="s">
        <v>12</v>
      </c>
      <c r="C6" s="3" t="n">
        <v>5300</v>
      </c>
      <c r="D6" s="2" t="n">
        <v>6</v>
      </c>
      <c r="E6" s="2" t="n">
        <v>6</v>
      </c>
    </row>
    <row r="7" customFormat="false" ht="15" hidden="false" customHeight="false" outlineLevel="0" collapsed="false">
      <c r="A7" s="2" t="s">
        <v>14</v>
      </c>
      <c r="B7" s="2" t="s">
        <v>15</v>
      </c>
      <c r="C7" s="3" t="n">
        <v>8100</v>
      </c>
      <c r="D7" s="2" t="n">
        <v>35</v>
      </c>
      <c r="E7" s="2" t="n">
        <v>35</v>
      </c>
    </row>
    <row r="8" customFormat="false" ht="15" hidden="false" customHeight="false" outlineLevel="0" collapsed="false">
      <c r="A8" s="2" t="s">
        <v>16</v>
      </c>
      <c r="B8" s="2" t="s">
        <v>12</v>
      </c>
      <c r="C8" s="3" t="n">
        <v>8100</v>
      </c>
      <c r="D8" s="2" t="n">
        <v>6</v>
      </c>
      <c r="E8" s="2" t="n">
        <v>6</v>
      </c>
    </row>
    <row r="9" customFormat="false" ht="15" hidden="false" customHeight="false" outlineLevel="0" collapsed="false">
      <c r="A9" s="2" t="s">
        <v>17</v>
      </c>
      <c r="B9" s="2" t="s">
        <v>6</v>
      </c>
      <c r="C9" s="3" t="n">
        <v>3100</v>
      </c>
      <c r="D9" s="2" t="n">
        <v>28</v>
      </c>
      <c r="E9" s="2" t="n">
        <v>28</v>
      </c>
    </row>
    <row r="10" customFormat="false" ht="15" hidden="false" customHeight="false" outlineLevel="0" collapsed="false">
      <c r="A10" s="2" t="s">
        <v>18</v>
      </c>
      <c r="B10" s="2" t="s">
        <v>15</v>
      </c>
      <c r="C10" s="3" t="n">
        <v>14200</v>
      </c>
      <c r="D10" s="2" t="n">
        <v>20</v>
      </c>
      <c r="E10" s="2" t="n">
        <v>20</v>
      </c>
    </row>
    <row r="11" customFormat="false" ht="15" hidden="false" customHeight="false" outlineLevel="0" collapsed="false">
      <c r="A11" s="2" t="s">
        <v>19</v>
      </c>
      <c r="B11" s="2" t="s">
        <v>12</v>
      </c>
      <c r="C11" s="3" t="n">
        <v>11300</v>
      </c>
      <c r="D11" s="2" t="n">
        <v>41</v>
      </c>
      <c r="E11" s="2" t="n">
        <v>41</v>
      </c>
    </row>
    <row r="12" customFormat="false" ht="15" hidden="false" customHeight="false" outlineLevel="0" collapsed="false">
      <c r="A12" s="2" t="s">
        <v>20</v>
      </c>
      <c r="B12" s="2" t="s">
        <v>15</v>
      </c>
      <c r="C12" s="3" t="n">
        <v>5700</v>
      </c>
      <c r="D12" s="2" t="n">
        <v>5</v>
      </c>
      <c r="E12" s="2" t="n">
        <v>50</v>
      </c>
    </row>
    <row r="13" customFormat="false" ht="15" hidden="false" customHeight="false" outlineLevel="0" collapsed="false">
      <c r="A13" s="2" t="s">
        <v>21</v>
      </c>
      <c r="B13" s="2" t="s">
        <v>8</v>
      </c>
      <c r="C13" s="3" t="n">
        <v>7400</v>
      </c>
      <c r="D13" s="2" t="n">
        <v>42</v>
      </c>
      <c r="E13" s="2" t="n">
        <v>42</v>
      </c>
    </row>
    <row r="14" customFormat="false" ht="15" hidden="false" customHeight="false" outlineLevel="0" collapsed="false">
      <c r="A14" s="2" t="s">
        <v>22</v>
      </c>
      <c r="B14" s="2" t="s">
        <v>12</v>
      </c>
      <c r="C14" s="3" t="n">
        <v>10700</v>
      </c>
      <c r="D14" s="2" t="n">
        <v>11</v>
      </c>
      <c r="E14" s="2" t="n">
        <v>11</v>
      </c>
    </row>
    <row r="15" customFormat="false" ht="15" hidden="false" customHeight="false" outlineLevel="0" collapsed="false">
      <c r="A15" s="2" t="s">
        <v>23</v>
      </c>
      <c r="B15" s="2" t="s">
        <v>12</v>
      </c>
      <c r="C15" s="3" t="n">
        <v>7000</v>
      </c>
      <c r="D15" s="2" t="n">
        <v>1</v>
      </c>
      <c r="E15" s="2" t="n">
        <v>1</v>
      </c>
    </row>
    <row r="16" customFormat="false" ht="15" hidden="false" customHeight="false" outlineLevel="0" collapsed="false">
      <c r="A16" s="2" t="s">
        <v>24</v>
      </c>
      <c r="B16" s="2" t="s">
        <v>10</v>
      </c>
      <c r="C16" s="3" t="n">
        <v>7100</v>
      </c>
      <c r="D16" s="2" t="n">
        <v>29</v>
      </c>
      <c r="E16" s="2" t="n">
        <v>29</v>
      </c>
    </row>
    <row r="17" customFormat="false" ht="15" hidden="false" customHeight="false" outlineLevel="0" collapsed="false">
      <c r="A17" s="2" t="s">
        <v>25</v>
      </c>
      <c r="B17" s="2" t="s">
        <v>10</v>
      </c>
      <c r="C17" s="3" t="n">
        <v>3600</v>
      </c>
      <c r="D17" s="2" t="n">
        <v>9</v>
      </c>
      <c r="E17" s="2" t="n">
        <v>9</v>
      </c>
    </row>
    <row r="18" customFormat="false" ht="15" hidden="false" customHeight="false" outlineLevel="0" collapsed="false">
      <c r="A18" s="2" t="s">
        <v>26</v>
      </c>
      <c r="B18" s="2" t="s">
        <v>12</v>
      </c>
      <c r="C18" s="3" t="n">
        <v>11000</v>
      </c>
      <c r="D18" s="2" t="n">
        <v>26</v>
      </c>
      <c r="E18" s="2" t="n">
        <v>26</v>
      </c>
    </row>
    <row r="19" customFormat="false" ht="15" hidden="false" customHeight="false" outlineLevel="0" collapsed="false">
      <c r="A19" s="2" t="s">
        <v>27</v>
      </c>
      <c r="B19" s="2" t="s">
        <v>8</v>
      </c>
      <c r="C19" s="3" t="n">
        <v>8700</v>
      </c>
      <c r="D19" s="2" t="n">
        <v>12</v>
      </c>
      <c r="E19" s="2" t="n">
        <v>12</v>
      </c>
    </row>
    <row r="20" customFormat="false" ht="15" hidden="false" customHeight="false" outlineLevel="0" collapsed="false">
      <c r="A20" s="2" t="s">
        <v>28</v>
      </c>
      <c r="B20" s="2" t="s">
        <v>12</v>
      </c>
      <c r="C20" s="3" t="n">
        <v>9400</v>
      </c>
      <c r="D20" s="2" t="n">
        <v>26</v>
      </c>
      <c r="E20" s="2" t="n">
        <v>26</v>
      </c>
    </row>
    <row r="21" customFormat="false" ht="15" hidden="false" customHeight="false" outlineLevel="0" collapsed="false">
      <c r="A21" s="2" t="s">
        <v>29</v>
      </c>
      <c r="B21" s="2" t="s">
        <v>15</v>
      </c>
      <c r="C21" s="3" t="n">
        <v>3500</v>
      </c>
      <c r="D21" s="2" t="n">
        <v>35</v>
      </c>
      <c r="E21" s="2" t="n">
        <v>35</v>
      </c>
    </row>
    <row r="22" customFormat="false" ht="15" hidden="false" customHeight="false" outlineLevel="0" collapsed="false">
      <c r="A22" s="2" t="s">
        <v>30</v>
      </c>
      <c r="B22" s="2" t="s">
        <v>10</v>
      </c>
      <c r="C22" s="3" t="n">
        <v>20100</v>
      </c>
      <c r="D22" s="2" t="n">
        <v>29</v>
      </c>
      <c r="E22" s="2" t="n">
        <v>29</v>
      </c>
    </row>
    <row r="23" customFormat="false" ht="15" hidden="false" customHeight="false" outlineLevel="0" collapsed="false">
      <c r="A23" s="2" t="s">
        <v>31</v>
      </c>
      <c r="B23" s="2" t="s">
        <v>12</v>
      </c>
      <c r="C23" s="3" t="n">
        <v>8800</v>
      </c>
      <c r="D23" s="2" t="n">
        <v>6</v>
      </c>
      <c r="E23" s="2" t="n">
        <v>6</v>
      </c>
    </row>
    <row r="24" customFormat="false" ht="15" hidden="false" customHeight="false" outlineLevel="0" collapsed="false">
      <c r="A24" s="2" t="s">
        <v>32</v>
      </c>
      <c r="B24" s="2" t="s">
        <v>15</v>
      </c>
      <c r="C24" s="3" t="n">
        <v>6500</v>
      </c>
      <c r="D24" s="2" t="n">
        <v>20</v>
      </c>
      <c r="E24" s="2" t="n">
        <v>20</v>
      </c>
    </row>
    <row r="25" customFormat="false" ht="15" hidden="false" customHeight="false" outlineLevel="0" collapsed="false">
      <c r="A25" s="2" t="s">
        <v>33</v>
      </c>
      <c r="B25" s="2" t="s">
        <v>12</v>
      </c>
      <c r="C25" s="3" t="n">
        <v>24700</v>
      </c>
      <c r="D25" s="2" t="n">
        <v>16</v>
      </c>
      <c r="E25" s="2" t="n">
        <v>16</v>
      </c>
    </row>
    <row r="26" customFormat="false" ht="15" hidden="false" customHeight="false" outlineLevel="0" collapsed="false">
      <c r="A26" s="2" t="s">
        <v>34</v>
      </c>
      <c r="B26" s="2" t="s">
        <v>8</v>
      </c>
      <c r="C26" s="3" t="n">
        <v>7900</v>
      </c>
      <c r="D26" s="2" t="n">
        <v>47</v>
      </c>
      <c r="E26" s="2" t="n">
        <v>47</v>
      </c>
    </row>
    <row r="27" customFormat="false" ht="15" hidden="false" customHeight="false" outlineLevel="0" collapsed="false">
      <c r="A27" s="2" t="s">
        <v>35</v>
      </c>
      <c r="B27" s="2" t="s">
        <v>15</v>
      </c>
      <c r="C27" s="3" t="n">
        <v>3600</v>
      </c>
      <c r="D27" s="2" t="n">
        <v>5</v>
      </c>
      <c r="E27" s="2" t="n">
        <v>50</v>
      </c>
    </row>
    <row r="28" customFormat="false" ht="15" hidden="false" customHeight="false" outlineLevel="0" collapsed="false">
      <c r="A28" s="2" t="s">
        <v>36</v>
      </c>
      <c r="B28" s="2" t="s">
        <v>12</v>
      </c>
      <c r="C28" s="3" t="n">
        <v>6500</v>
      </c>
      <c r="D28" s="2" t="n">
        <v>6</v>
      </c>
      <c r="E28" s="2" t="n">
        <v>6</v>
      </c>
    </row>
    <row r="29" customFormat="false" ht="15" hidden="false" customHeight="false" outlineLevel="0" collapsed="false">
      <c r="A29" s="2" t="s">
        <v>37</v>
      </c>
      <c r="B29" s="2" t="s">
        <v>15</v>
      </c>
      <c r="C29" s="3" t="n">
        <v>2300</v>
      </c>
      <c r="D29" s="2" t="n">
        <v>20</v>
      </c>
      <c r="E29" s="2" t="n">
        <v>45</v>
      </c>
    </row>
    <row r="30" customFormat="false" ht="15" hidden="false" customHeight="false" outlineLevel="0" collapsed="false">
      <c r="A30" s="2" t="s">
        <v>38</v>
      </c>
      <c r="B30" s="2" t="s">
        <v>15</v>
      </c>
      <c r="C30" s="3" t="n">
        <v>14400</v>
      </c>
      <c r="D30" s="2" t="n">
        <v>35</v>
      </c>
      <c r="E30" s="2" t="n">
        <v>35</v>
      </c>
    </row>
    <row r="31" customFormat="false" ht="15" hidden="false" customHeight="false" outlineLevel="0" collapsed="false">
      <c r="A31" s="2" t="s">
        <v>39</v>
      </c>
      <c r="B31" s="2" t="s">
        <v>10</v>
      </c>
      <c r="C31" s="3" t="n">
        <v>6400</v>
      </c>
      <c r="D31" s="2" t="n">
        <v>14</v>
      </c>
      <c r="E31" s="2" t="n">
        <v>14</v>
      </c>
    </row>
    <row r="32" customFormat="false" ht="15" hidden="false" customHeight="false" outlineLevel="0" collapsed="false">
      <c r="A32" s="2" t="s">
        <v>40</v>
      </c>
      <c r="B32" s="2" t="s">
        <v>12</v>
      </c>
      <c r="C32" s="3" t="n">
        <v>5400</v>
      </c>
      <c r="D32" s="2" t="n">
        <v>16</v>
      </c>
      <c r="E32" s="2" t="n">
        <v>21</v>
      </c>
    </row>
    <row r="33" customFormat="false" ht="15" hidden="false" customHeight="false" outlineLevel="0" collapsed="false">
      <c r="A33" s="2" t="s">
        <v>41</v>
      </c>
      <c r="B33" s="2" t="s">
        <v>8</v>
      </c>
      <c r="C33" s="3" t="n">
        <v>14600</v>
      </c>
      <c r="D33" s="2" t="n">
        <v>37</v>
      </c>
      <c r="E33" s="2" t="n">
        <v>37</v>
      </c>
    </row>
    <row r="34" customFormat="false" ht="15" hidden="false" customHeight="false" outlineLevel="0" collapsed="false">
      <c r="A34" s="2" t="s">
        <v>42</v>
      </c>
      <c r="B34" s="2" t="s">
        <v>12</v>
      </c>
      <c r="C34" s="3" t="n">
        <v>3300</v>
      </c>
      <c r="D34" s="2" t="n">
        <v>46</v>
      </c>
      <c r="E34" s="2" t="n">
        <v>46</v>
      </c>
    </row>
    <row r="35" customFormat="false" ht="15" hidden="false" customHeight="false" outlineLevel="0" collapsed="false">
      <c r="A35" s="2" t="s">
        <v>43</v>
      </c>
      <c r="B35" s="2" t="s">
        <v>15</v>
      </c>
      <c r="C35" s="3" t="n">
        <v>10900</v>
      </c>
      <c r="D35" s="2" t="n">
        <v>25</v>
      </c>
      <c r="E35" s="2" t="n">
        <v>25</v>
      </c>
    </row>
    <row r="36" customFormat="false" ht="15" hidden="false" customHeight="false" outlineLevel="0" collapsed="false">
      <c r="A36" s="2" t="s">
        <v>44</v>
      </c>
      <c r="B36" s="2" t="s">
        <v>8</v>
      </c>
      <c r="C36" s="3" t="n">
        <v>2600</v>
      </c>
      <c r="D36" s="2" t="n">
        <v>12</v>
      </c>
      <c r="E36" s="2" t="n">
        <v>22</v>
      </c>
    </row>
    <row r="37" customFormat="false" ht="15" hidden="false" customHeight="false" outlineLevel="0" collapsed="false">
      <c r="A37" s="2" t="s">
        <v>45</v>
      </c>
      <c r="B37" s="2" t="s">
        <v>6</v>
      </c>
      <c r="C37" s="3" t="n">
        <v>5600</v>
      </c>
      <c r="D37" s="2" t="n">
        <v>3</v>
      </c>
      <c r="E37" s="2" t="n">
        <v>23</v>
      </c>
    </row>
    <row r="38" customFormat="false" ht="15" hidden="false" customHeight="false" outlineLevel="0" collapsed="false">
      <c r="A38" s="2" t="s">
        <v>46</v>
      </c>
      <c r="B38" s="2" t="s">
        <v>10</v>
      </c>
      <c r="C38" s="3" t="n">
        <v>4200</v>
      </c>
      <c r="D38" s="2" t="n">
        <v>19</v>
      </c>
      <c r="E38" s="2" t="n">
        <v>44</v>
      </c>
    </row>
    <row r="39" customFormat="false" ht="15" hidden="false" customHeight="false" outlineLevel="0" collapsed="false">
      <c r="A39" s="2" t="s">
        <v>47</v>
      </c>
      <c r="B39" s="2" t="s">
        <v>8</v>
      </c>
      <c r="C39" s="3" t="n">
        <v>18100</v>
      </c>
      <c r="D39" s="2" t="n">
        <v>12</v>
      </c>
      <c r="E39" s="2" t="n">
        <v>12</v>
      </c>
    </row>
    <row r="40" customFormat="false" ht="15" hidden="false" customHeight="false" outlineLevel="0" collapsed="false">
      <c r="A40" s="2" t="s">
        <v>48</v>
      </c>
      <c r="B40" s="2" t="s">
        <v>15</v>
      </c>
      <c r="C40" s="3" t="n">
        <v>21400</v>
      </c>
      <c r="D40" s="2" t="n">
        <v>5</v>
      </c>
      <c r="E40" s="2" t="n">
        <v>5</v>
      </c>
    </row>
    <row r="41" customFormat="false" ht="15" hidden="false" customHeight="false" outlineLevel="0" collapsed="false">
      <c r="A41" s="2" t="s">
        <v>49</v>
      </c>
      <c r="B41" s="2" t="s">
        <v>12</v>
      </c>
      <c r="C41" s="3" t="n">
        <v>6800</v>
      </c>
      <c r="D41" s="2" t="n">
        <v>16</v>
      </c>
      <c r="E41" s="2" t="n">
        <v>16</v>
      </c>
    </row>
    <row r="42" customFormat="false" ht="15" hidden="false" customHeight="false" outlineLevel="0" collapsed="false">
      <c r="A42" s="2" t="s">
        <v>50</v>
      </c>
      <c r="B42" s="2" t="s">
        <v>15</v>
      </c>
      <c r="C42" s="3" t="n">
        <v>12900</v>
      </c>
      <c r="D42" s="2" t="n">
        <v>50</v>
      </c>
      <c r="E42" s="2" t="n">
        <v>50</v>
      </c>
    </row>
    <row r="43" customFormat="false" ht="15" hidden="false" customHeight="false" outlineLevel="0" collapsed="false">
      <c r="A43" s="2" t="s">
        <v>51</v>
      </c>
      <c r="B43" s="2" t="s">
        <v>6</v>
      </c>
      <c r="C43" s="3" t="n">
        <v>7300</v>
      </c>
      <c r="D43" s="2" t="n">
        <v>48</v>
      </c>
      <c r="E43" s="2" t="n">
        <v>48</v>
      </c>
    </row>
    <row r="44" customFormat="false" ht="15" hidden="false" customHeight="false" outlineLevel="0" collapsed="false">
      <c r="A44" s="2" t="s">
        <v>52</v>
      </c>
      <c r="B44" s="2" t="s">
        <v>15</v>
      </c>
      <c r="C44" s="3" t="n">
        <v>11100</v>
      </c>
      <c r="D44" s="2" t="n">
        <v>15</v>
      </c>
      <c r="E44" s="2" t="n">
        <v>15</v>
      </c>
    </row>
    <row r="45" customFormat="false" ht="15" hidden="false" customHeight="false" outlineLevel="0" collapsed="false">
      <c r="A45" s="2" t="s">
        <v>53</v>
      </c>
      <c r="B45" s="2" t="s">
        <v>8</v>
      </c>
      <c r="C45" s="3" t="n">
        <v>5400</v>
      </c>
      <c r="D45" s="2" t="n">
        <v>42</v>
      </c>
      <c r="E45" s="2" t="n">
        <v>42</v>
      </c>
    </row>
    <row r="46" customFormat="false" ht="15" hidden="false" customHeight="false" outlineLevel="0" collapsed="false">
      <c r="A46" s="2" t="s">
        <v>54</v>
      </c>
      <c r="B46" s="2" t="s">
        <v>12</v>
      </c>
      <c r="C46" s="3" t="n">
        <v>3200</v>
      </c>
      <c r="D46" s="2" t="n">
        <v>46</v>
      </c>
      <c r="E46" s="2" t="n">
        <v>46</v>
      </c>
    </row>
    <row r="47" customFormat="false" ht="15" hidden="false" customHeight="false" outlineLevel="0" collapsed="false">
      <c r="A47" s="2" t="s">
        <v>55</v>
      </c>
      <c r="B47" s="2" t="s">
        <v>15</v>
      </c>
      <c r="C47" s="3" t="n">
        <v>3000</v>
      </c>
      <c r="D47" s="2" t="n">
        <v>5</v>
      </c>
      <c r="E47" s="2" t="n">
        <v>50</v>
      </c>
    </row>
    <row r="48" customFormat="false" ht="15" hidden="false" customHeight="false" outlineLevel="0" collapsed="false">
      <c r="A48" s="2" t="s">
        <v>56</v>
      </c>
      <c r="B48" s="2" t="s">
        <v>15</v>
      </c>
      <c r="C48" s="3" t="n">
        <v>10000</v>
      </c>
      <c r="D48" s="2" t="n">
        <v>5</v>
      </c>
      <c r="E48" s="2" t="n">
        <v>5</v>
      </c>
    </row>
    <row r="49" customFormat="false" ht="15" hidden="false" customHeight="false" outlineLevel="0" collapsed="false">
      <c r="A49" s="2" t="s">
        <v>57</v>
      </c>
      <c r="B49" s="2" t="s">
        <v>8</v>
      </c>
      <c r="C49" s="3" t="n">
        <v>27900</v>
      </c>
      <c r="D49" s="2" t="n">
        <v>32</v>
      </c>
      <c r="E49" s="2" t="n">
        <v>32</v>
      </c>
    </row>
    <row r="50" customFormat="false" ht="15" hidden="false" customHeight="false" outlineLevel="0" collapsed="false">
      <c r="A50" s="2" t="s">
        <v>58</v>
      </c>
      <c r="B50" s="2" t="s">
        <v>6</v>
      </c>
      <c r="C50" s="3" t="n">
        <v>9400</v>
      </c>
      <c r="D50" s="2" t="n">
        <v>13</v>
      </c>
      <c r="E50" s="2" t="n">
        <v>13</v>
      </c>
    </row>
    <row r="51" customFormat="false" ht="15" hidden="false" customHeight="false" outlineLevel="0" collapsed="false">
      <c r="A51" s="2" t="s">
        <v>59</v>
      </c>
      <c r="B51" s="2" t="s">
        <v>12</v>
      </c>
      <c r="C51" s="3" t="n">
        <v>6100</v>
      </c>
      <c r="D51" s="2" t="n">
        <v>11</v>
      </c>
      <c r="E51" s="2" t="n">
        <v>26</v>
      </c>
    </row>
    <row r="52" customFormat="false" ht="15" hidden="false" customHeight="false" outlineLevel="0" collapsed="false">
      <c r="A52" s="2" t="s">
        <v>60</v>
      </c>
      <c r="B52" s="2" t="s">
        <v>15</v>
      </c>
      <c r="C52" s="3" t="n">
        <v>23200</v>
      </c>
      <c r="D52" s="2" t="n">
        <v>30</v>
      </c>
      <c r="E52" s="2" t="n">
        <v>30</v>
      </c>
    </row>
    <row r="53" customFormat="false" ht="15" hidden="false" customHeight="false" outlineLevel="0" collapsed="false">
      <c r="A53" s="2" t="s">
        <v>61</v>
      </c>
      <c r="B53" s="2" t="s">
        <v>12</v>
      </c>
      <c r="C53" s="3" t="n">
        <v>9200</v>
      </c>
      <c r="D53" s="2" t="n">
        <v>26</v>
      </c>
      <c r="E53" s="2" t="n">
        <v>26</v>
      </c>
    </row>
    <row r="54" customFormat="false" ht="15" hidden="false" customHeight="false" outlineLevel="0" collapsed="false">
      <c r="A54" s="2" t="s">
        <v>62</v>
      </c>
      <c r="B54" s="2" t="s">
        <v>15</v>
      </c>
      <c r="C54" s="3" t="n">
        <v>8600</v>
      </c>
      <c r="D54" s="2" t="n">
        <v>15</v>
      </c>
      <c r="E54" s="2" t="n">
        <v>15</v>
      </c>
    </row>
    <row r="55" customFormat="false" ht="15" hidden="false" customHeight="false" outlineLevel="0" collapsed="false">
      <c r="A55" s="2" t="s">
        <v>63</v>
      </c>
      <c r="B55" s="2" t="s">
        <v>12</v>
      </c>
      <c r="C55" s="3" t="n">
        <v>9300</v>
      </c>
      <c r="D55" s="2" t="n">
        <v>1</v>
      </c>
      <c r="E55" s="2" t="n">
        <v>1</v>
      </c>
    </row>
    <row r="56" customFormat="false" ht="15" hidden="false" customHeight="false" outlineLevel="0" collapsed="false">
      <c r="A56" s="2" t="s">
        <v>64</v>
      </c>
      <c r="B56" s="2" t="s">
        <v>15</v>
      </c>
      <c r="C56" s="3" t="n">
        <v>7500</v>
      </c>
      <c r="D56" s="2" t="n">
        <v>15</v>
      </c>
      <c r="E56" s="2" t="n">
        <v>15</v>
      </c>
    </row>
    <row r="57" customFormat="false" ht="15" hidden="false" customHeight="false" outlineLevel="0" collapsed="false">
      <c r="A57" s="2" t="s">
        <v>65</v>
      </c>
      <c r="B57" s="2" t="s">
        <v>8</v>
      </c>
      <c r="C57" s="3" t="n">
        <v>6800</v>
      </c>
      <c r="D57" s="2" t="n">
        <v>17</v>
      </c>
      <c r="E57" s="2" t="n">
        <v>17</v>
      </c>
    </row>
    <row r="58" customFormat="false" ht="15" hidden="false" customHeight="false" outlineLevel="0" collapsed="false">
      <c r="A58" s="2" t="s">
        <v>66</v>
      </c>
      <c r="B58" s="2" t="s">
        <v>10</v>
      </c>
      <c r="C58" s="3" t="n">
        <v>3700</v>
      </c>
      <c r="D58" s="2" t="n">
        <v>44</v>
      </c>
      <c r="E58" s="2" t="n">
        <v>44</v>
      </c>
    </row>
    <row r="59" customFormat="false" ht="15" hidden="false" customHeight="false" outlineLevel="0" collapsed="false">
      <c r="A59" s="2" t="s">
        <v>67</v>
      </c>
      <c r="B59" s="2" t="s">
        <v>15</v>
      </c>
      <c r="C59" s="3" t="n">
        <v>10700</v>
      </c>
      <c r="D59" s="2" t="n">
        <v>20</v>
      </c>
      <c r="E59" s="2" t="n">
        <v>20</v>
      </c>
    </row>
    <row r="60" customFormat="false" ht="15" hidden="false" customHeight="false" outlineLevel="0" collapsed="false">
      <c r="A60" s="2" t="s">
        <v>68</v>
      </c>
      <c r="B60" s="2" t="s">
        <v>10</v>
      </c>
      <c r="C60" s="3" t="n">
        <v>7700</v>
      </c>
      <c r="D60" s="2" t="n">
        <v>9</v>
      </c>
      <c r="E60" s="2" t="n">
        <v>9</v>
      </c>
    </row>
    <row r="61" customFormat="false" ht="15" hidden="false" customHeight="false" outlineLevel="0" collapsed="false">
      <c r="A61" s="2" t="s">
        <v>69</v>
      </c>
      <c r="B61" s="2" t="s">
        <v>6</v>
      </c>
      <c r="C61" s="3" t="n">
        <v>15600</v>
      </c>
      <c r="D61" s="2" t="n">
        <v>48</v>
      </c>
      <c r="E61" s="2" t="n">
        <v>48</v>
      </c>
    </row>
    <row r="62" customFormat="false" ht="15" hidden="false" customHeight="false" outlineLevel="0" collapsed="false">
      <c r="A62" s="2" t="s">
        <v>70</v>
      </c>
      <c r="B62" s="2" t="s">
        <v>10</v>
      </c>
      <c r="C62" s="3" t="n">
        <v>6600</v>
      </c>
      <c r="D62" s="2" t="n">
        <v>34</v>
      </c>
      <c r="E62" s="2" t="n">
        <v>34</v>
      </c>
    </row>
    <row r="63" customFormat="false" ht="15" hidden="false" customHeight="false" outlineLevel="0" collapsed="false">
      <c r="A63" s="2" t="s">
        <v>71</v>
      </c>
      <c r="B63" s="2" t="s">
        <v>15</v>
      </c>
      <c r="C63" s="3" t="n">
        <v>2800</v>
      </c>
      <c r="D63" s="2" t="n">
        <v>20</v>
      </c>
      <c r="E63" s="2" t="n">
        <v>50</v>
      </c>
    </row>
    <row r="64" customFormat="false" ht="15" hidden="false" customHeight="false" outlineLevel="0" collapsed="false">
      <c r="A64" s="2" t="s">
        <v>72</v>
      </c>
      <c r="B64" s="2" t="s">
        <v>10</v>
      </c>
      <c r="C64" s="3" t="n">
        <v>7700</v>
      </c>
      <c r="D64" s="2" t="n">
        <v>34</v>
      </c>
      <c r="E64" s="2" t="n">
        <v>34</v>
      </c>
    </row>
    <row r="65" customFormat="false" ht="15" hidden="false" customHeight="false" outlineLevel="0" collapsed="false">
      <c r="A65" s="2" t="s">
        <v>73</v>
      </c>
      <c r="B65" s="2" t="s">
        <v>6</v>
      </c>
      <c r="C65" s="3" t="n">
        <v>20600</v>
      </c>
      <c r="D65" s="2" t="n">
        <v>18</v>
      </c>
      <c r="E65" s="2" t="n">
        <v>18</v>
      </c>
    </row>
    <row r="66" customFormat="false" ht="15" hidden="false" customHeight="false" outlineLevel="0" collapsed="false">
      <c r="A66" s="2" t="s">
        <v>74</v>
      </c>
      <c r="B66" s="2" t="s">
        <v>6</v>
      </c>
      <c r="C66" s="3" t="n">
        <v>6600</v>
      </c>
      <c r="D66" s="2" t="n">
        <v>13</v>
      </c>
      <c r="E66" s="2" t="n">
        <v>13</v>
      </c>
    </row>
    <row r="67" customFormat="false" ht="15" hidden="false" customHeight="false" outlineLevel="0" collapsed="false">
      <c r="A67" s="2" t="s">
        <v>75</v>
      </c>
      <c r="B67" s="2" t="s">
        <v>8</v>
      </c>
      <c r="C67" s="3" t="n">
        <v>5000</v>
      </c>
      <c r="D67" s="2" t="n">
        <v>2</v>
      </c>
      <c r="E67" s="2" t="n">
        <v>22</v>
      </c>
    </row>
    <row r="68" customFormat="false" ht="15" hidden="false" customHeight="false" outlineLevel="0" collapsed="false">
      <c r="A68" s="2" t="s">
        <v>76</v>
      </c>
      <c r="B68" s="2" t="s">
        <v>8</v>
      </c>
      <c r="C68" s="3" t="n">
        <v>4200</v>
      </c>
      <c r="D68" s="2" t="n">
        <v>12</v>
      </c>
      <c r="E68" s="2" t="n">
        <v>22</v>
      </c>
    </row>
    <row r="69" customFormat="false" ht="15" hidden="false" customHeight="false" outlineLevel="0" collapsed="false">
      <c r="A69" s="2" t="s">
        <v>77</v>
      </c>
      <c r="B69" s="2" t="s">
        <v>8</v>
      </c>
      <c r="C69" s="3" t="n">
        <v>4500</v>
      </c>
      <c r="D69" s="2" t="n">
        <v>12</v>
      </c>
      <c r="E69" s="2" t="n">
        <v>47</v>
      </c>
    </row>
    <row r="70" customFormat="false" ht="15" hidden="false" customHeight="false" outlineLevel="0" collapsed="false">
      <c r="A70" s="2" t="s">
        <v>78</v>
      </c>
      <c r="B70" s="2" t="s">
        <v>12</v>
      </c>
      <c r="C70" s="3" t="n">
        <v>6900</v>
      </c>
      <c r="D70" s="2" t="n">
        <v>11</v>
      </c>
      <c r="E70" s="2" t="n">
        <v>31</v>
      </c>
    </row>
    <row r="71" customFormat="false" ht="15" hidden="false" customHeight="false" outlineLevel="0" collapsed="false">
      <c r="A71" s="2" t="s">
        <v>79</v>
      </c>
      <c r="B71" s="2" t="s">
        <v>15</v>
      </c>
      <c r="C71" s="3" t="n">
        <v>4200</v>
      </c>
      <c r="D71" s="2" t="n">
        <v>20</v>
      </c>
      <c r="E71" s="2" t="n">
        <v>20</v>
      </c>
    </row>
    <row r="72" customFormat="false" ht="15" hidden="false" customHeight="false" outlineLevel="0" collapsed="false">
      <c r="A72" s="2" t="s">
        <v>80</v>
      </c>
      <c r="B72" s="2" t="s">
        <v>6</v>
      </c>
      <c r="C72" s="3" t="n">
        <v>18500</v>
      </c>
      <c r="D72" s="2" t="n">
        <v>48</v>
      </c>
      <c r="E72" s="2" t="n">
        <v>48</v>
      </c>
    </row>
    <row r="73" customFormat="false" ht="15" hidden="false" customHeight="false" outlineLevel="0" collapsed="false">
      <c r="A73" s="2" t="s">
        <v>81</v>
      </c>
      <c r="B73" s="2" t="s">
        <v>15</v>
      </c>
      <c r="C73" s="3" t="n">
        <v>6900</v>
      </c>
      <c r="D73" s="2" t="n">
        <v>10</v>
      </c>
      <c r="E73" s="2" t="n">
        <v>10</v>
      </c>
    </row>
    <row r="74" customFormat="false" ht="15" hidden="false" customHeight="false" outlineLevel="0" collapsed="false">
      <c r="A74" s="2" t="s">
        <v>82</v>
      </c>
      <c r="B74" s="2" t="s">
        <v>10</v>
      </c>
      <c r="C74" s="3" t="n">
        <v>8600</v>
      </c>
      <c r="D74" s="2" t="n">
        <v>4</v>
      </c>
      <c r="E74" s="2" t="n">
        <v>4</v>
      </c>
    </row>
    <row r="75" customFormat="false" ht="15" hidden="false" customHeight="false" outlineLevel="0" collapsed="false">
      <c r="A75" s="2" t="s">
        <v>83</v>
      </c>
      <c r="B75" s="2" t="s">
        <v>6</v>
      </c>
      <c r="C75" s="3" t="n">
        <v>17900</v>
      </c>
      <c r="D75" s="2" t="n">
        <v>33</v>
      </c>
      <c r="E75" s="2" t="n">
        <v>33</v>
      </c>
    </row>
    <row r="76" customFormat="false" ht="15" hidden="false" customHeight="false" outlineLevel="0" collapsed="false">
      <c r="A76" s="2" t="s">
        <v>84</v>
      </c>
      <c r="B76" s="2" t="s">
        <v>10</v>
      </c>
      <c r="C76" s="3" t="n">
        <v>18500</v>
      </c>
      <c r="D76" s="2" t="n">
        <v>9</v>
      </c>
      <c r="E76" s="2" t="n">
        <v>9</v>
      </c>
    </row>
    <row r="77" customFormat="false" ht="15" hidden="false" customHeight="false" outlineLevel="0" collapsed="false">
      <c r="A77" s="2" t="s">
        <v>85</v>
      </c>
      <c r="B77" s="2" t="s">
        <v>6</v>
      </c>
      <c r="C77" s="3" t="n">
        <v>7200</v>
      </c>
      <c r="D77" s="2" t="n">
        <v>3</v>
      </c>
      <c r="E77" s="2" t="n">
        <v>3</v>
      </c>
    </row>
    <row r="78" customFormat="false" ht="15" hidden="false" customHeight="false" outlineLevel="0" collapsed="false">
      <c r="A78" s="2" t="s">
        <v>86</v>
      </c>
      <c r="B78" s="2" t="s">
        <v>15</v>
      </c>
      <c r="C78" s="3" t="n">
        <v>9700</v>
      </c>
      <c r="D78" s="2" t="n">
        <v>20</v>
      </c>
      <c r="E78" s="2" t="n">
        <v>20</v>
      </c>
    </row>
    <row r="79" customFormat="false" ht="15" hidden="false" customHeight="false" outlineLevel="0" collapsed="false">
      <c r="A79" s="2" t="s">
        <v>87</v>
      </c>
      <c r="B79" s="2" t="s">
        <v>12</v>
      </c>
      <c r="C79" s="3" t="n">
        <v>12100</v>
      </c>
      <c r="D79" s="2" t="n">
        <v>41</v>
      </c>
      <c r="E79" s="2" t="n">
        <v>41</v>
      </c>
    </row>
    <row r="80" customFormat="false" ht="15" hidden="false" customHeight="false" outlineLevel="0" collapsed="false">
      <c r="A80" s="2" t="s">
        <v>88</v>
      </c>
      <c r="B80" s="2" t="s">
        <v>12</v>
      </c>
      <c r="C80" s="3" t="n">
        <v>7300</v>
      </c>
      <c r="D80" s="2" t="n">
        <v>1</v>
      </c>
      <c r="E80" s="2" t="n">
        <v>1</v>
      </c>
    </row>
    <row r="81" customFormat="false" ht="15" hidden="false" customHeight="false" outlineLevel="0" collapsed="false">
      <c r="A81" s="2" t="s">
        <v>89</v>
      </c>
      <c r="B81" s="2" t="s">
        <v>15</v>
      </c>
      <c r="C81" s="3" t="n">
        <v>3000</v>
      </c>
      <c r="D81" s="2" t="n">
        <v>50</v>
      </c>
      <c r="E81" s="2" t="n">
        <v>50</v>
      </c>
    </row>
    <row r="82" customFormat="false" ht="15" hidden="false" customHeight="false" outlineLevel="0" collapsed="false">
      <c r="A82" s="2" t="s">
        <v>90</v>
      </c>
      <c r="B82" s="2" t="s">
        <v>10</v>
      </c>
      <c r="C82" s="3" t="n">
        <v>11600</v>
      </c>
      <c r="D82" s="2" t="n">
        <v>34</v>
      </c>
      <c r="E82" s="2" t="n">
        <v>34</v>
      </c>
    </row>
    <row r="83" customFormat="false" ht="15" hidden="false" customHeight="false" outlineLevel="0" collapsed="false">
      <c r="A83" s="2" t="s">
        <v>91</v>
      </c>
      <c r="B83" s="2" t="s">
        <v>8</v>
      </c>
      <c r="C83" s="3" t="n">
        <v>13300</v>
      </c>
      <c r="D83" s="2" t="n">
        <v>42</v>
      </c>
      <c r="E83" s="2" t="n">
        <v>42</v>
      </c>
    </row>
    <row r="84" customFormat="false" ht="15" hidden="false" customHeight="false" outlineLevel="0" collapsed="false">
      <c r="A84" s="2" t="s">
        <v>92</v>
      </c>
      <c r="B84" s="2" t="s">
        <v>6</v>
      </c>
      <c r="C84" s="3" t="n">
        <v>10200</v>
      </c>
      <c r="D84" s="2" t="n">
        <v>13</v>
      </c>
      <c r="E84" s="2" t="n">
        <v>13</v>
      </c>
    </row>
    <row r="85" customFormat="false" ht="15" hidden="false" customHeight="false" outlineLevel="0" collapsed="false">
      <c r="A85" s="2" t="s">
        <v>93</v>
      </c>
      <c r="B85" s="2" t="s">
        <v>8</v>
      </c>
      <c r="C85" s="3" t="n">
        <v>4900</v>
      </c>
      <c r="D85" s="2" t="n">
        <v>2</v>
      </c>
      <c r="E85" s="2" t="n">
        <v>22</v>
      </c>
    </row>
    <row r="86" customFormat="false" ht="15" hidden="false" customHeight="false" outlineLevel="0" collapsed="false">
      <c r="A86" s="2" t="s">
        <v>94</v>
      </c>
      <c r="B86" s="2" t="s">
        <v>10</v>
      </c>
      <c r="C86" s="3" t="n">
        <v>7300</v>
      </c>
      <c r="D86" s="2" t="n">
        <v>29</v>
      </c>
      <c r="E86" s="2" t="n">
        <v>29</v>
      </c>
    </row>
    <row r="87" customFormat="false" ht="15" hidden="false" customHeight="false" outlineLevel="0" collapsed="false">
      <c r="A87" s="2" t="s">
        <v>95</v>
      </c>
      <c r="B87" s="2" t="s">
        <v>10</v>
      </c>
      <c r="C87" s="3" t="n">
        <v>5900</v>
      </c>
      <c r="D87" s="2" t="n">
        <v>29</v>
      </c>
      <c r="E87" s="2" t="n">
        <v>29</v>
      </c>
    </row>
    <row r="88" customFormat="false" ht="15" hidden="false" customHeight="false" outlineLevel="0" collapsed="false">
      <c r="A88" s="2" t="s">
        <v>96</v>
      </c>
      <c r="B88" s="2" t="s">
        <v>12</v>
      </c>
      <c r="C88" s="3" t="n">
        <v>6900</v>
      </c>
      <c r="D88" s="2" t="n">
        <v>6</v>
      </c>
      <c r="E88" s="2" t="n">
        <v>6</v>
      </c>
    </row>
    <row r="89" customFormat="false" ht="15" hidden="false" customHeight="false" outlineLevel="0" collapsed="false">
      <c r="A89" s="2" t="s">
        <v>97</v>
      </c>
      <c r="B89" s="2" t="s">
        <v>12</v>
      </c>
      <c r="C89" s="3" t="n">
        <v>16500</v>
      </c>
      <c r="D89" s="2" t="n">
        <v>46</v>
      </c>
      <c r="E89" s="2" t="n">
        <v>46</v>
      </c>
    </row>
    <row r="90" customFormat="false" ht="15" hidden="false" customHeight="false" outlineLevel="0" collapsed="false">
      <c r="A90" s="2" t="s">
        <v>98</v>
      </c>
      <c r="B90" s="2" t="s">
        <v>15</v>
      </c>
      <c r="C90" s="3" t="n">
        <v>18800</v>
      </c>
      <c r="D90" s="2" t="n">
        <v>20</v>
      </c>
      <c r="E90" s="2" t="n">
        <v>20</v>
      </c>
    </row>
    <row r="91" customFormat="false" ht="15" hidden="false" customHeight="false" outlineLevel="0" collapsed="false">
      <c r="A91" s="2" t="s">
        <v>99</v>
      </c>
      <c r="B91" s="2" t="s">
        <v>15</v>
      </c>
      <c r="C91" s="3" t="n">
        <v>11700</v>
      </c>
      <c r="D91" s="2" t="n">
        <v>15</v>
      </c>
      <c r="E91" s="2" t="n">
        <v>15</v>
      </c>
    </row>
    <row r="92" customFormat="false" ht="15" hidden="false" customHeight="false" outlineLevel="0" collapsed="false">
      <c r="A92" s="2" t="s">
        <v>100</v>
      </c>
      <c r="B92" s="2" t="s">
        <v>6</v>
      </c>
      <c r="C92" s="3" t="n">
        <v>11000</v>
      </c>
      <c r="D92" s="2" t="n">
        <v>38</v>
      </c>
      <c r="E92" s="2" t="n">
        <v>38</v>
      </c>
    </row>
    <row r="93" customFormat="false" ht="15" hidden="false" customHeight="false" outlineLevel="0" collapsed="false">
      <c r="A93" s="2" t="s">
        <v>101</v>
      </c>
      <c r="B93" s="2" t="s">
        <v>6</v>
      </c>
      <c r="C93" s="3" t="n">
        <v>11800</v>
      </c>
      <c r="D93" s="2" t="n">
        <v>38</v>
      </c>
      <c r="E93" s="2" t="n">
        <v>38</v>
      </c>
    </row>
    <row r="94" customFormat="false" ht="15" hidden="false" customHeight="false" outlineLevel="0" collapsed="false">
      <c r="A94" s="2" t="s">
        <v>102</v>
      </c>
      <c r="B94" s="2" t="s">
        <v>6</v>
      </c>
      <c r="C94" s="3" t="n">
        <v>8000</v>
      </c>
      <c r="D94" s="2" t="n">
        <v>18</v>
      </c>
      <c r="E94" s="2" t="n">
        <v>18</v>
      </c>
    </row>
    <row r="95" customFormat="false" ht="15" hidden="false" customHeight="false" outlineLevel="0" collapsed="false">
      <c r="A95" s="2" t="s">
        <v>103</v>
      </c>
      <c r="B95" s="2" t="s">
        <v>15</v>
      </c>
      <c r="C95" s="3" t="n">
        <v>7800</v>
      </c>
      <c r="D95" s="2" t="n">
        <v>5</v>
      </c>
      <c r="E95" s="2" t="n">
        <v>35</v>
      </c>
    </row>
    <row r="96" customFormat="false" ht="15" hidden="false" customHeight="false" outlineLevel="0" collapsed="false">
      <c r="A96" s="2" t="s">
        <v>104</v>
      </c>
      <c r="B96" s="2" t="s">
        <v>10</v>
      </c>
      <c r="C96" s="3" t="n">
        <v>5600</v>
      </c>
      <c r="D96" s="2" t="n">
        <v>39</v>
      </c>
      <c r="E96" s="2" t="n">
        <v>39</v>
      </c>
    </row>
    <row r="97" customFormat="false" ht="15" hidden="false" customHeight="false" outlineLevel="0" collapsed="false">
      <c r="A97" s="2" t="s">
        <v>105</v>
      </c>
      <c r="B97" s="2" t="s">
        <v>15</v>
      </c>
      <c r="C97" s="3" t="n">
        <v>7900</v>
      </c>
      <c r="D97" s="2" t="n">
        <v>20</v>
      </c>
      <c r="E97" s="2" t="n">
        <v>20</v>
      </c>
    </row>
    <row r="98" customFormat="false" ht="15" hidden="false" customHeight="false" outlineLevel="0" collapsed="false">
      <c r="A98" s="2" t="s">
        <v>106</v>
      </c>
      <c r="B98" s="2" t="s">
        <v>10</v>
      </c>
      <c r="C98" s="3" t="n">
        <v>28100</v>
      </c>
      <c r="D98" s="2" t="n">
        <v>44</v>
      </c>
      <c r="E98" s="2" t="n">
        <v>44</v>
      </c>
    </row>
    <row r="99" customFormat="false" ht="15" hidden="false" customHeight="false" outlineLevel="0" collapsed="false">
      <c r="A99" s="2" t="s">
        <v>107</v>
      </c>
      <c r="B99" s="2" t="s">
        <v>12</v>
      </c>
      <c r="C99" s="3" t="n">
        <v>13100</v>
      </c>
      <c r="D99" s="2" t="n">
        <v>21</v>
      </c>
      <c r="E99" s="2" t="n">
        <v>21</v>
      </c>
    </row>
    <row r="100" customFormat="false" ht="15" hidden="false" customHeight="false" outlineLevel="0" collapsed="false">
      <c r="A100" s="2" t="s">
        <v>108</v>
      </c>
      <c r="B100" s="2" t="s">
        <v>12</v>
      </c>
      <c r="C100" s="3" t="n">
        <v>6700</v>
      </c>
      <c r="D100" s="2" t="n">
        <v>6</v>
      </c>
      <c r="E100" s="2" t="n">
        <v>6</v>
      </c>
    </row>
    <row r="101" customFormat="false" ht="15" hidden="false" customHeight="false" outlineLevel="0" collapsed="false">
      <c r="A101" s="2" t="s">
        <v>109</v>
      </c>
      <c r="B101" s="2" t="s">
        <v>6</v>
      </c>
      <c r="C101" s="3" t="n">
        <v>6300</v>
      </c>
      <c r="D101" s="2" t="n">
        <v>3</v>
      </c>
      <c r="E101" s="2" t="n">
        <v>3</v>
      </c>
    </row>
    <row r="102" customFormat="false" ht="15" hidden="false" customHeight="false" outlineLevel="0" collapsed="false">
      <c r="A102" s="2" t="s">
        <v>110</v>
      </c>
      <c r="B102" s="2" t="s">
        <v>10</v>
      </c>
      <c r="C102" s="3" t="n">
        <v>5000</v>
      </c>
      <c r="D102" s="2" t="n">
        <v>49</v>
      </c>
      <c r="E102" s="2" t="n">
        <v>49</v>
      </c>
    </row>
    <row r="103" customFormat="false" ht="15" hidden="false" customHeight="false" outlineLevel="0" collapsed="false">
      <c r="A103" s="2" t="s">
        <v>111</v>
      </c>
      <c r="B103" s="2" t="s">
        <v>12</v>
      </c>
      <c r="C103" s="3" t="n">
        <v>10000</v>
      </c>
      <c r="D103" s="2" t="n">
        <v>16</v>
      </c>
      <c r="E103" s="2" t="n">
        <v>16</v>
      </c>
    </row>
    <row r="104" customFormat="false" ht="15" hidden="false" customHeight="false" outlineLevel="0" collapsed="false">
      <c r="A104" s="2" t="s">
        <v>112</v>
      </c>
      <c r="B104" s="2" t="s">
        <v>12</v>
      </c>
      <c r="C104" s="3" t="n">
        <v>10100</v>
      </c>
      <c r="D104" s="2" t="n">
        <v>26</v>
      </c>
      <c r="E104" s="2" t="n">
        <v>26</v>
      </c>
    </row>
    <row r="105" customFormat="false" ht="15" hidden="false" customHeight="false" outlineLevel="0" collapsed="false">
      <c r="A105" s="2" t="s">
        <v>113</v>
      </c>
      <c r="B105" s="2" t="s">
        <v>6</v>
      </c>
      <c r="C105" s="3" t="n">
        <v>3700</v>
      </c>
      <c r="D105" s="2" t="n">
        <v>8</v>
      </c>
      <c r="E105" s="2" t="n">
        <v>33</v>
      </c>
    </row>
    <row r="106" customFormat="false" ht="15" hidden="false" customHeight="false" outlineLevel="0" collapsed="false">
      <c r="A106" s="2" t="s">
        <v>114</v>
      </c>
      <c r="B106" s="2" t="s">
        <v>15</v>
      </c>
      <c r="C106" s="3" t="n">
        <v>10600</v>
      </c>
      <c r="D106" s="2" t="n">
        <v>45</v>
      </c>
      <c r="E106" s="2" t="n">
        <v>45</v>
      </c>
    </row>
    <row r="107" customFormat="false" ht="15" hidden="false" customHeight="false" outlineLevel="0" collapsed="false">
      <c r="A107" s="2" t="s">
        <v>115</v>
      </c>
      <c r="B107" s="2" t="s">
        <v>10</v>
      </c>
      <c r="C107" s="3" t="n">
        <v>5900</v>
      </c>
      <c r="D107" s="2" t="n">
        <v>19</v>
      </c>
      <c r="E107" s="2" t="n">
        <v>19</v>
      </c>
    </row>
    <row r="108" customFormat="false" ht="15" hidden="false" customHeight="false" outlineLevel="0" collapsed="false">
      <c r="A108" s="2" t="s">
        <v>116</v>
      </c>
      <c r="B108" s="2" t="s">
        <v>6</v>
      </c>
      <c r="C108" s="3" t="n">
        <v>17800</v>
      </c>
      <c r="D108" s="2" t="n">
        <v>43</v>
      </c>
      <c r="E108" s="2" t="n">
        <v>43</v>
      </c>
    </row>
    <row r="109" customFormat="false" ht="15" hidden="false" customHeight="false" outlineLevel="0" collapsed="false">
      <c r="A109" s="2" t="s">
        <v>117</v>
      </c>
      <c r="B109" s="2" t="s">
        <v>10</v>
      </c>
      <c r="C109" s="3" t="n">
        <v>8800</v>
      </c>
      <c r="D109" s="2" t="n">
        <v>24</v>
      </c>
      <c r="E109" s="2" t="n">
        <v>24</v>
      </c>
    </row>
    <row r="110" customFormat="false" ht="15" hidden="false" customHeight="false" outlineLevel="0" collapsed="false">
      <c r="A110" s="2" t="s">
        <v>118</v>
      </c>
      <c r="B110" s="2" t="s">
        <v>6</v>
      </c>
      <c r="C110" s="3" t="n">
        <v>20800</v>
      </c>
      <c r="D110" s="2" t="n">
        <v>8</v>
      </c>
      <c r="E110" s="2" t="n">
        <v>8</v>
      </c>
    </row>
    <row r="111" customFormat="false" ht="15" hidden="false" customHeight="false" outlineLevel="0" collapsed="false">
      <c r="A111" s="2" t="s">
        <v>119</v>
      </c>
      <c r="B111" s="2" t="s">
        <v>12</v>
      </c>
      <c r="C111" s="3" t="n">
        <v>6300</v>
      </c>
      <c r="D111" s="2" t="n">
        <v>16</v>
      </c>
      <c r="E111" s="2" t="n">
        <v>16</v>
      </c>
    </row>
    <row r="112" customFormat="false" ht="15" hidden="false" customHeight="false" outlineLevel="0" collapsed="false">
      <c r="A112" s="2" t="s">
        <v>120</v>
      </c>
      <c r="B112" s="2" t="s">
        <v>10</v>
      </c>
      <c r="C112" s="3" t="n">
        <v>6900</v>
      </c>
      <c r="D112" s="2" t="n">
        <v>14</v>
      </c>
      <c r="E112" s="2" t="n">
        <v>14</v>
      </c>
    </row>
    <row r="113" customFormat="false" ht="15" hidden="false" customHeight="false" outlineLevel="0" collapsed="false">
      <c r="A113" s="2" t="s">
        <v>121</v>
      </c>
      <c r="B113" s="2" t="s">
        <v>6</v>
      </c>
      <c r="C113" s="3" t="n">
        <v>9600</v>
      </c>
      <c r="D113" s="2" t="n">
        <v>8</v>
      </c>
      <c r="E113" s="2" t="n">
        <v>8</v>
      </c>
    </row>
    <row r="114" customFormat="false" ht="15" hidden="false" customHeight="false" outlineLevel="0" collapsed="false">
      <c r="A114" s="2" t="s">
        <v>122</v>
      </c>
      <c r="B114" s="2" t="s">
        <v>8</v>
      </c>
      <c r="C114" s="3" t="n">
        <v>14500</v>
      </c>
      <c r="D114" s="2" t="n">
        <v>32</v>
      </c>
      <c r="E114" s="2" t="n">
        <v>32</v>
      </c>
    </row>
    <row r="115" customFormat="false" ht="15" hidden="false" customHeight="false" outlineLevel="0" collapsed="false">
      <c r="A115" s="2" t="s">
        <v>123</v>
      </c>
      <c r="B115" s="2" t="s">
        <v>15</v>
      </c>
      <c r="C115" s="3" t="n">
        <v>11100</v>
      </c>
      <c r="D115" s="2" t="n">
        <v>30</v>
      </c>
      <c r="E115" s="2" t="n">
        <v>30</v>
      </c>
    </row>
    <row r="116" customFormat="false" ht="15" hidden="false" customHeight="false" outlineLevel="0" collapsed="false">
      <c r="A116" s="2" t="s">
        <v>124</v>
      </c>
      <c r="B116" s="2" t="s">
        <v>12</v>
      </c>
      <c r="C116" s="3" t="n">
        <v>4100</v>
      </c>
      <c r="D116" s="2" t="n">
        <v>16</v>
      </c>
      <c r="E116" s="2" t="n">
        <v>26</v>
      </c>
    </row>
    <row r="117" customFormat="false" ht="15" hidden="false" customHeight="false" outlineLevel="0" collapsed="false">
      <c r="A117" s="2" t="s">
        <v>125</v>
      </c>
      <c r="B117" s="2" t="s">
        <v>10</v>
      </c>
      <c r="C117" s="3" t="n">
        <v>9000</v>
      </c>
      <c r="D117" s="2" t="n">
        <v>9</v>
      </c>
      <c r="E117" s="2" t="n">
        <v>9</v>
      </c>
    </row>
    <row r="118" customFormat="false" ht="15" hidden="false" customHeight="false" outlineLevel="0" collapsed="false">
      <c r="A118" s="2" t="s">
        <v>126</v>
      </c>
      <c r="B118" s="2" t="s">
        <v>12</v>
      </c>
      <c r="C118" s="3" t="n">
        <v>8200</v>
      </c>
      <c r="D118" s="2" t="n">
        <v>16</v>
      </c>
      <c r="E118" s="2" t="n">
        <v>16</v>
      </c>
    </row>
    <row r="119" customFormat="false" ht="15" hidden="false" customHeight="false" outlineLevel="0" collapsed="false">
      <c r="A119" s="2" t="s">
        <v>127</v>
      </c>
      <c r="B119" s="2" t="s">
        <v>8</v>
      </c>
      <c r="C119" s="3" t="n">
        <v>6400</v>
      </c>
      <c r="D119" s="2" t="n">
        <v>27</v>
      </c>
      <c r="E119" s="2" t="n">
        <v>27</v>
      </c>
    </row>
    <row r="120" customFormat="false" ht="15" hidden="false" customHeight="false" outlineLevel="0" collapsed="false">
      <c r="A120" s="2" t="s">
        <v>128</v>
      </c>
      <c r="B120" s="2" t="s">
        <v>6</v>
      </c>
      <c r="C120" s="3" t="n">
        <v>5700</v>
      </c>
      <c r="D120" s="2" t="n">
        <v>3</v>
      </c>
      <c r="E120" s="2" t="n">
        <v>48</v>
      </c>
    </row>
    <row r="121" customFormat="false" ht="15" hidden="false" customHeight="false" outlineLevel="0" collapsed="false">
      <c r="A121" s="2" t="s">
        <v>129</v>
      </c>
      <c r="B121" s="2" t="s">
        <v>8</v>
      </c>
      <c r="C121" s="3" t="n">
        <v>21200</v>
      </c>
      <c r="D121" s="2" t="n">
        <v>27</v>
      </c>
      <c r="E121" s="2" t="n">
        <v>27</v>
      </c>
    </row>
    <row r="122" customFormat="false" ht="15" hidden="false" customHeight="false" outlineLevel="0" collapsed="false">
      <c r="A122" s="2" t="s">
        <v>130</v>
      </c>
      <c r="B122" s="2" t="s">
        <v>8</v>
      </c>
      <c r="C122" s="3" t="n">
        <v>6500</v>
      </c>
      <c r="D122" s="2" t="n">
        <v>2</v>
      </c>
      <c r="E122" s="2" t="n">
        <v>22</v>
      </c>
    </row>
    <row r="123" customFormat="false" ht="15" hidden="false" customHeight="false" outlineLevel="0" collapsed="false">
      <c r="A123" s="2" t="s">
        <v>131</v>
      </c>
      <c r="B123" s="2" t="s">
        <v>10</v>
      </c>
      <c r="C123" s="3" t="n">
        <v>5100</v>
      </c>
      <c r="D123" s="2" t="n">
        <v>19</v>
      </c>
      <c r="E123" s="2" t="n">
        <v>24</v>
      </c>
    </row>
    <row r="124" customFormat="false" ht="15" hidden="false" customHeight="false" outlineLevel="0" collapsed="false">
      <c r="A124" s="2" t="s">
        <v>132</v>
      </c>
      <c r="B124" s="2" t="s">
        <v>10</v>
      </c>
      <c r="C124" s="3" t="n">
        <v>11500</v>
      </c>
      <c r="D124" s="2" t="n">
        <v>39</v>
      </c>
      <c r="E124" s="2" t="n">
        <v>39</v>
      </c>
    </row>
    <row r="125" customFormat="false" ht="15" hidden="false" customHeight="false" outlineLevel="0" collapsed="false">
      <c r="A125" s="2" t="s">
        <v>133</v>
      </c>
      <c r="B125" s="2" t="s">
        <v>10</v>
      </c>
      <c r="C125" s="3" t="n">
        <v>8700</v>
      </c>
      <c r="D125" s="2" t="n">
        <v>24</v>
      </c>
      <c r="E125" s="2" t="n">
        <v>24</v>
      </c>
    </row>
    <row r="126" customFormat="false" ht="15" hidden="false" customHeight="false" outlineLevel="0" collapsed="false">
      <c r="A126" s="2" t="s">
        <v>134</v>
      </c>
      <c r="B126" s="2" t="s">
        <v>12</v>
      </c>
      <c r="C126" s="3" t="n">
        <v>7800</v>
      </c>
      <c r="D126" s="2" t="n">
        <v>16</v>
      </c>
      <c r="E126" s="2" t="n">
        <v>16</v>
      </c>
    </row>
    <row r="127" customFormat="false" ht="15" hidden="false" customHeight="false" outlineLevel="0" collapsed="false">
      <c r="A127" s="2" t="s">
        <v>135</v>
      </c>
      <c r="B127" s="2" t="s">
        <v>8</v>
      </c>
      <c r="C127" s="3" t="n">
        <v>12500</v>
      </c>
      <c r="D127" s="2" t="n">
        <v>12</v>
      </c>
      <c r="E127" s="2" t="n">
        <v>12</v>
      </c>
    </row>
    <row r="128" customFormat="false" ht="15" hidden="false" customHeight="false" outlineLevel="0" collapsed="false">
      <c r="A128" s="2" t="s">
        <v>136</v>
      </c>
      <c r="B128" s="2" t="s">
        <v>10</v>
      </c>
      <c r="C128" s="3" t="n">
        <v>10600</v>
      </c>
      <c r="D128" s="2" t="n">
        <v>39</v>
      </c>
      <c r="E128" s="2" t="n">
        <v>39</v>
      </c>
    </row>
    <row r="129" customFormat="false" ht="15" hidden="false" customHeight="false" outlineLevel="0" collapsed="false">
      <c r="A129" s="2" t="s">
        <v>137</v>
      </c>
      <c r="B129" s="2" t="s">
        <v>10</v>
      </c>
      <c r="C129" s="3" t="n">
        <v>9900</v>
      </c>
      <c r="D129" s="2" t="n">
        <v>19</v>
      </c>
      <c r="E129" s="2" t="n">
        <v>19</v>
      </c>
    </row>
    <row r="130" customFormat="false" ht="15" hidden="false" customHeight="false" outlineLevel="0" collapsed="false">
      <c r="A130" s="2" t="s">
        <v>138</v>
      </c>
      <c r="B130" s="2" t="s">
        <v>15</v>
      </c>
      <c r="C130" s="3" t="n">
        <v>13800</v>
      </c>
      <c r="D130" s="2" t="n">
        <v>25</v>
      </c>
      <c r="E130" s="2" t="n">
        <v>25</v>
      </c>
    </row>
    <row r="131" customFormat="false" ht="15" hidden="false" customHeight="false" outlineLevel="0" collapsed="false">
      <c r="A131" s="2" t="s">
        <v>139</v>
      </c>
      <c r="B131" s="2" t="s">
        <v>6</v>
      </c>
      <c r="C131" s="3" t="n">
        <v>9500</v>
      </c>
      <c r="D131" s="2" t="n">
        <v>8</v>
      </c>
      <c r="E131" s="2" t="n">
        <v>8</v>
      </c>
    </row>
    <row r="132" customFormat="false" ht="15" hidden="false" customHeight="false" outlineLevel="0" collapsed="false">
      <c r="A132" s="2" t="s">
        <v>140</v>
      </c>
      <c r="B132" s="2" t="s">
        <v>8</v>
      </c>
      <c r="C132" s="3" t="n">
        <v>5800</v>
      </c>
      <c r="D132" s="2" t="n">
        <v>7</v>
      </c>
      <c r="E132" s="2" t="n">
        <v>7</v>
      </c>
    </row>
    <row r="133" customFormat="false" ht="15" hidden="false" customHeight="false" outlineLevel="0" collapsed="false">
      <c r="A133" s="2" t="s">
        <v>141</v>
      </c>
      <c r="B133" s="2" t="s">
        <v>10</v>
      </c>
      <c r="C133" s="3" t="n">
        <v>6600</v>
      </c>
      <c r="D133" s="2" t="n">
        <v>24</v>
      </c>
      <c r="E133" s="2" t="n">
        <v>24</v>
      </c>
    </row>
    <row r="134" customFormat="false" ht="15" hidden="false" customHeight="false" outlineLevel="0" collapsed="false">
      <c r="A134" s="2" t="s">
        <v>142</v>
      </c>
      <c r="B134" s="2" t="s">
        <v>15</v>
      </c>
      <c r="C134" s="3" t="n">
        <v>6100</v>
      </c>
      <c r="D134" s="2" t="n">
        <v>15</v>
      </c>
      <c r="E134" s="2" t="n">
        <v>50</v>
      </c>
    </row>
    <row r="135" customFormat="false" ht="15" hidden="false" customHeight="false" outlineLevel="0" collapsed="false">
      <c r="A135" s="2" t="s">
        <v>143</v>
      </c>
      <c r="B135" s="2" t="s">
        <v>6</v>
      </c>
      <c r="C135" s="3" t="n">
        <v>9100</v>
      </c>
      <c r="D135" s="2" t="n">
        <v>13</v>
      </c>
      <c r="E135" s="2" t="n">
        <v>13</v>
      </c>
    </row>
    <row r="136" customFormat="false" ht="15" hidden="false" customHeight="false" outlineLevel="0" collapsed="false">
      <c r="A136" s="2" t="s">
        <v>144</v>
      </c>
      <c r="B136" s="2" t="s">
        <v>10</v>
      </c>
      <c r="C136" s="3" t="n">
        <v>4500</v>
      </c>
      <c r="D136" s="2" t="n">
        <v>39</v>
      </c>
      <c r="E136" s="2" t="n">
        <v>29</v>
      </c>
    </row>
    <row r="137" customFormat="false" ht="15" hidden="false" customHeight="false" outlineLevel="0" collapsed="false">
      <c r="A137" s="2" t="s">
        <v>145</v>
      </c>
      <c r="B137" s="2" t="s">
        <v>6</v>
      </c>
      <c r="C137" s="3" t="n">
        <v>3000</v>
      </c>
      <c r="D137" s="2" t="n">
        <v>8</v>
      </c>
      <c r="E137" s="2" t="n">
        <v>23</v>
      </c>
    </row>
    <row r="138" customFormat="false" ht="15" hidden="false" customHeight="false" outlineLevel="0" collapsed="false">
      <c r="A138" s="2" t="s">
        <v>146</v>
      </c>
      <c r="B138" s="2" t="s">
        <v>10</v>
      </c>
      <c r="C138" s="3" t="n">
        <v>8500</v>
      </c>
      <c r="D138" s="2" t="n">
        <v>4</v>
      </c>
      <c r="E138" s="2" t="n">
        <v>4</v>
      </c>
    </row>
    <row r="139" customFormat="false" ht="15" hidden="false" customHeight="false" outlineLevel="0" collapsed="false">
      <c r="A139" s="2" t="s">
        <v>147</v>
      </c>
      <c r="B139" s="2" t="s">
        <v>8</v>
      </c>
      <c r="C139" s="3" t="n">
        <v>3900</v>
      </c>
      <c r="D139" s="2" t="n">
        <v>42</v>
      </c>
      <c r="E139" s="2" t="n">
        <v>42</v>
      </c>
    </row>
    <row r="140" customFormat="false" ht="15" hidden="false" customHeight="false" outlineLevel="0" collapsed="false">
      <c r="A140" s="2" t="s">
        <v>148</v>
      </c>
      <c r="B140" s="2" t="s">
        <v>8</v>
      </c>
      <c r="C140" s="3" t="n">
        <v>2800</v>
      </c>
      <c r="D140" s="2" t="n">
        <v>12</v>
      </c>
      <c r="E140" s="2" t="n">
        <v>47</v>
      </c>
    </row>
    <row r="141" customFormat="false" ht="15" hidden="false" customHeight="false" outlineLevel="0" collapsed="false">
      <c r="A141" s="2" t="s">
        <v>149</v>
      </c>
      <c r="B141" s="2" t="s">
        <v>12</v>
      </c>
      <c r="C141" s="3" t="n">
        <v>10000</v>
      </c>
      <c r="D141" s="2" t="n">
        <v>31</v>
      </c>
      <c r="E141" s="2" t="n">
        <v>31</v>
      </c>
    </row>
    <row r="142" customFormat="false" ht="15" hidden="false" customHeight="false" outlineLevel="0" collapsed="false">
      <c r="A142" s="2" t="s">
        <v>150</v>
      </c>
      <c r="B142" s="2" t="s">
        <v>8</v>
      </c>
      <c r="C142" s="3" t="n">
        <v>5500</v>
      </c>
      <c r="D142" s="2" t="n">
        <v>7</v>
      </c>
      <c r="E142" s="2" t="n">
        <v>7</v>
      </c>
    </row>
    <row r="143" customFormat="false" ht="15" hidden="false" customHeight="false" outlineLevel="0" collapsed="false">
      <c r="A143" s="2" t="s">
        <v>151</v>
      </c>
      <c r="B143" s="2" t="s">
        <v>8</v>
      </c>
      <c r="C143" s="3" t="n">
        <v>10600</v>
      </c>
      <c r="D143" s="2" t="n">
        <v>12</v>
      </c>
      <c r="E143" s="2" t="n">
        <v>12</v>
      </c>
    </row>
    <row r="144" customFormat="false" ht="15" hidden="false" customHeight="false" outlineLevel="0" collapsed="false">
      <c r="A144" s="2" t="s">
        <v>152</v>
      </c>
      <c r="B144" s="2" t="s">
        <v>8</v>
      </c>
      <c r="C144" s="3" t="n">
        <v>6100</v>
      </c>
      <c r="D144" s="2" t="n">
        <v>32</v>
      </c>
      <c r="E144" s="2" t="n">
        <v>32</v>
      </c>
    </row>
    <row r="145" customFormat="false" ht="15" hidden="false" customHeight="false" outlineLevel="0" collapsed="false">
      <c r="A145" s="2" t="s">
        <v>153</v>
      </c>
      <c r="B145" s="2" t="s">
        <v>8</v>
      </c>
      <c r="C145" s="3" t="n">
        <v>4400</v>
      </c>
      <c r="D145" s="2" t="n">
        <v>17</v>
      </c>
      <c r="E145" s="2" t="n">
        <v>47</v>
      </c>
    </row>
    <row r="146" customFormat="false" ht="15" hidden="false" customHeight="false" outlineLevel="0" collapsed="false">
      <c r="A146" s="2" t="s">
        <v>154</v>
      </c>
      <c r="B146" s="2" t="s">
        <v>12</v>
      </c>
      <c r="C146" s="3" t="n">
        <v>4100</v>
      </c>
      <c r="D146" s="2" t="n">
        <v>21</v>
      </c>
      <c r="E146" s="2" t="n">
        <v>21</v>
      </c>
    </row>
    <row r="147" customFormat="false" ht="15" hidden="false" customHeight="false" outlineLevel="0" collapsed="false">
      <c r="A147" s="2" t="s">
        <v>155</v>
      </c>
      <c r="B147" s="2" t="s">
        <v>10</v>
      </c>
      <c r="C147" s="3" t="n">
        <v>6100</v>
      </c>
      <c r="D147" s="2" t="n">
        <v>14</v>
      </c>
      <c r="E147" s="2" t="n">
        <v>14</v>
      </c>
    </row>
    <row r="148" customFormat="false" ht="15" hidden="false" customHeight="false" outlineLevel="0" collapsed="false">
      <c r="A148" s="2" t="s">
        <v>156</v>
      </c>
      <c r="B148" s="2" t="s">
        <v>15</v>
      </c>
      <c r="C148" s="3" t="n">
        <v>7000</v>
      </c>
      <c r="D148" s="2" t="n">
        <v>35</v>
      </c>
      <c r="E148" s="2" t="n">
        <v>35</v>
      </c>
    </row>
    <row r="149" customFormat="false" ht="15" hidden="false" customHeight="false" outlineLevel="0" collapsed="false">
      <c r="A149" s="2" t="s">
        <v>157</v>
      </c>
      <c r="B149" s="2" t="s">
        <v>8</v>
      </c>
      <c r="C149" s="3" t="n">
        <v>5200</v>
      </c>
      <c r="D149" s="2" t="n">
        <v>22</v>
      </c>
      <c r="E149" s="2" t="n">
        <v>22</v>
      </c>
    </row>
    <row r="150" customFormat="false" ht="15" hidden="false" customHeight="false" outlineLevel="0" collapsed="false">
      <c r="A150" s="2" t="s">
        <v>158</v>
      </c>
      <c r="B150" s="2" t="s">
        <v>6</v>
      </c>
      <c r="C150" s="3" t="n">
        <v>6900</v>
      </c>
      <c r="D150" s="2" t="n">
        <v>38</v>
      </c>
      <c r="E150" s="2" t="n">
        <v>38</v>
      </c>
    </row>
    <row r="151" customFormat="false" ht="15" hidden="false" customHeight="false" outlineLevel="0" collapsed="false">
      <c r="A151" s="2" t="s">
        <v>159</v>
      </c>
      <c r="B151" s="2" t="s">
        <v>6</v>
      </c>
      <c r="C151" s="3" t="n">
        <v>3500</v>
      </c>
      <c r="D151" s="2" t="n">
        <v>43</v>
      </c>
      <c r="E151" s="2" t="n">
        <v>43</v>
      </c>
    </row>
    <row r="152" customFormat="false" ht="15" hidden="false" customHeight="false" outlineLevel="0" collapsed="false">
      <c r="A152" s="2" t="s">
        <v>160</v>
      </c>
      <c r="B152" s="2" t="s">
        <v>12</v>
      </c>
      <c r="C152" s="3" t="n">
        <v>8200</v>
      </c>
      <c r="D152" s="2" t="n">
        <v>1</v>
      </c>
      <c r="E152" s="2" t="n">
        <v>1</v>
      </c>
    </row>
    <row r="153" customFormat="false" ht="15" hidden="false" customHeight="false" outlineLevel="0" collapsed="false">
      <c r="A153" s="2" t="s">
        <v>161</v>
      </c>
      <c r="B153" s="2" t="s">
        <v>8</v>
      </c>
      <c r="C153" s="3" t="n">
        <v>3000</v>
      </c>
      <c r="D153" s="2" t="n">
        <v>42</v>
      </c>
      <c r="E153" s="2" t="n">
        <v>42</v>
      </c>
    </row>
    <row r="154" customFormat="false" ht="15" hidden="false" customHeight="false" outlineLevel="0" collapsed="false">
      <c r="A154" s="2" t="s">
        <v>162</v>
      </c>
      <c r="B154" s="2" t="s">
        <v>10</v>
      </c>
      <c r="C154" s="3" t="n">
        <v>7300</v>
      </c>
      <c r="D154" s="2" t="n">
        <v>14</v>
      </c>
      <c r="E154" s="2" t="n">
        <v>14</v>
      </c>
    </row>
    <row r="155" customFormat="false" ht="15" hidden="false" customHeight="false" outlineLevel="0" collapsed="false">
      <c r="A155" s="2" t="s">
        <v>163</v>
      </c>
      <c r="B155" s="2" t="s">
        <v>15</v>
      </c>
      <c r="C155" s="3" t="n">
        <v>11900</v>
      </c>
      <c r="D155" s="2" t="n">
        <v>30</v>
      </c>
      <c r="E155" s="2" t="n">
        <v>30</v>
      </c>
    </row>
    <row r="156" customFormat="false" ht="15" hidden="false" customHeight="false" outlineLevel="0" collapsed="false">
      <c r="A156" s="2" t="s">
        <v>164</v>
      </c>
      <c r="B156" s="2" t="s">
        <v>6</v>
      </c>
      <c r="C156" s="3" t="n">
        <v>14800</v>
      </c>
      <c r="D156" s="2" t="n">
        <v>18</v>
      </c>
      <c r="E156" s="2" t="n">
        <v>18</v>
      </c>
    </row>
    <row r="157" customFormat="false" ht="15" hidden="false" customHeight="false" outlineLevel="0" collapsed="false">
      <c r="A157" s="2" t="s">
        <v>165</v>
      </c>
      <c r="B157" s="2" t="s">
        <v>15</v>
      </c>
      <c r="C157" s="3" t="n">
        <v>20800</v>
      </c>
      <c r="D157" s="2" t="n">
        <v>15</v>
      </c>
      <c r="E157" s="2" t="n">
        <v>15</v>
      </c>
    </row>
    <row r="158" customFormat="false" ht="15" hidden="false" customHeight="false" outlineLevel="0" collapsed="false">
      <c r="A158" s="2" t="s">
        <v>166</v>
      </c>
      <c r="B158" s="2" t="s">
        <v>15</v>
      </c>
      <c r="C158" s="3" t="n">
        <v>3400</v>
      </c>
      <c r="D158" s="2" t="n">
        <v>40</v>
      </c>
      <c r="E158" s="2" t="n">
        <v>40</v>
      </c>
    </row>
    <row r="159" customFormat="false" ht="15" hidden="false" customHeight="false" outlineLevel="0" collapsed="false">
      <c r="A159" s="2" t="s">
        <v>167</v>
      </c>
      <c r="B159" s="2" t="s">
        <v>6</v>
      </c>
      <c r="C159" s="3" t="n">
        <v>12300</v>
      </c>
      <c r="D159" s="2" t="n">
        <v>48</v>
      </c>
      <c r="E159" s="2" t="n">
        <v>48</v>
      </c>
    </row>
    <row r="160" customFormat="false" ht="15" hidden="false" customHeight="false" outlineLevel="0" collapsed="false">
      <c r="A160" s="2" t="s">
        <v>168</v>
      </c>
      <c r="B160" s="2" t="s">
        <v>8</v>
      </c>
      <c r="C160" s="3" t="n">
        <v>15700</v>
      </c>
      <c r="D160" s="2" t="n">
        <v>2</v>
      </c>
      <c r="E160" s="2" t="n">
        <v>2</v>
      </c>
    </row>
    <row r="161" customFormat="false" ht="15" hidden="false" customHeight="false" outlineLevel="0" collapsed="false">
      <c r="A161" s="2" t="s">
        <v>169</v>
      </c>
      <c r="B161" s="2" t="s">
        <v>15</v>
      </c>
      <c r="C161" s="3" t="n">
        <v>13900</v>
      </c>
      <c r="D161" s="2" t="n">
        <v>20</v>
      </c>
      <c r="E161" s="2" t="n">
        <v>20</v>
      </c>
    </row>
    <row r="162" customFormat="false" ht="15" hidden="false" customHeight="false" outlineLevel="0" collapsed="false">
      <c r="A162" s="2" t="s">
        <v>170</v>
      </c>
      <c r="B162" s="2" t="s">
        <v>15</v>
      </c>
      <c r="C162" s="3" t="n">
        <v>4900</v>
      </c>
      <c r="D162" s="2" t="n">
        <v>40</v>
      </c>
      <c r="E162" s="2" t="n">
        <v>40</v>
      </c>
    </row>
    <row r="163" customFormat="false" ht="15" hidden="false" customHeight="false" outlineLevel="0" collapsed="false">
      <c r="A163" s="2" t="s">
        <v>171</v>
      </c>
      <c r="B163" s="2" t="s">
        <v>12</v>
      </c>
      <c r="C163" s="3" t="n">
        <v>10200</v>
      </c>
      <c r="D163" s="2" t="n">
        <v>36</v>
      </c>
      <c r="E163" s="2" t="n">
        <v>36</v>
      </c>
    </row>
    <row r="164" customFormat="false" ht="15" hidden="false" customHeight="false" outlineLevel="0" collapsed="false">
      <c r="A164" s="2" t="s">
        <v>172</v>
      </c>
      <c r="B164" s="2" t="s">
        <v>10</v>
      </c>
      <c r="C164" s="3" t="n">
        <v>22500</v>
      </c>
      <c r="D164" s="2" t="n">
        <v>49</v>
      </c>
      <c r="E164" s="2" t="n">
        <v>49</v>
      </c>
    </row>
    <row r="165" customFormat="false" ht="15" hidden="false" customHeight="false" outlineLevel="0" collapsed="false">
      <c r="A165" s="2" t="s">
        <v>173</v>
      </c>
      <c r="B165" s="2" t="s">
        <v>15</v>
      </c>
      <c r="C165" s="3" t="n">
        <v>3600</v>
      </c>
      <c r="D165" s="2" t="n">
        <v>20</v>
      </c>
      <c r="E165" s="2" t="n">
        <v>35</v>
      </c>
    </row>
    <row r="166" customFormat="false" ht="15" hidden="false" customHeight="false" outlineLevel="0" collapsed="false">
      <c r="A166" s="2" t="s">
        <v>174</v>
      </c>
      <c r="B166" s="2" t="s">
        <v>10</v>
      </c>
      <c r="C166" s="3" t="n">
        <v>10500</v>
      </c>
      <c r="D166" s="2" t="n">
        <v>4</v>
      </c>
      <c r="E166" s="2" t="n">
        <v>4</v>
      </c>
    </row>
    <row r="167" customFormat="false" ht="15" hidden="false" customHeight="false" outlineLevel="0" collapsed="false">
      <c r="A167" s="2" t="s">
        <v>175</v>
      </c>
      <c r="B167" s="2" t="s">
        <v>10</v>
      </c>
      <c r="C167" s="3" t="n">
        <v>14900</v>
      </c>
      <c r="D167" s="2" t="n">
        <v>49</v>
      </c>
      <c r="E167" s="2" t="n">
        <v>49</v>
      </c>
    </row>
    <row r="168" customFormat="false" ht="15" hidden="false" customHeight="false" outlineLevel="0" collapsed="false">
      <c r="A168" s="2" t="s">
        <v>176</v>
      </c>
      <c r="B168" s="2" t="s">
        <v>10</v>
      </c>
      <c r="C168" s="3" t="n">
        <v>5500</v>
      </c>
      <c r="D168" s="2" t="n">
        <v>49</v>
      </c>
      <c r="E168" s="2" t="n">
        <v>49</v>
      </c>
    </row>
    <row r="169" customFormat="false" ht="15" hidden="false" customHeight="false" outlineLevel="0" collapsed="false">
      <c r="A169" s="2" t="s">
        <v>177</v>
      </c>
      <c r="B169" s="2" t="s">
        <v>10</v>
      </c>
      <c r="C169" s="3" t="n">
        <v>11200</v>
      </c>
      <c r="D169" s="2" t="n">
        <v>24</v>
      </c>
      <c r="E169" s="2" t="n">
        <v>24</v>
      </c>
    </row>
    <row r="170" customFormat="false" ht="15" hidden="false" customHeight="false" outlineLevel="0" collapsed="false">
      <c r="A170" s="2" t="s">
        <v>178</v>
      </c>
      <c r="B170" s="2" t="s">
        <v>12</v>
      </c>
      <c r="C170" s="3" t="n">
        <v>4500</v>
      </c>
      <c r="D170" s="2" t="n">
        <v>16</v>
      </c>
      <c r="E170" s="2" t="n">
        <v>36</v>
      </c>
    </row>
    <row r="171" customFormat="false" ht="15" hidden="false" customHeight="false" outlineLevel="0" collapsed="false">
      <c r="A171" s="2" t="s">
        <v>179</v>
      </c>
      <c r="B171" s="2" t="s">
        <v>10</v>
      </c>
      <c r="C171" s="3" t="n">
        <v>5200</v>
      </c>
      <c r="D171" s="2" t="n">
        <v>19</v>
      </c>
      <c r="E171" s="2" t="n">
        <v>29</v>
      </c>
    </row>
    <row r="172" customFormat="false" ht="15" hidden="false" customHeight="false" outlineLevel="0" collapsed="false">
      <c r="A172" s="2" t="s">
        <v>180</v>
      </c>
      <c r="B172" s="2" t="s">
        <v>10</v>
      </c>
      <c r="C172" s="3" t="n">
        <v>5200</v>
      </c>
      <c r="D172" s="2" t="n">
        <v>39</v>
      </c>
      <c r="E172" s="2" t="n">
        <v>44</v>
      </c>
    </row>
    <row r="173" customFormat="false" ht="15" hidden="false" customHeight="false" outlineLevel="0" collapsed="false">
      <c r="A173" s="2" t="s">
        <v>181</v>
      </c>
      <c r="B173" s="2" t="s">
        <v>12</v>
      </c>
      <c r="C173" s="3" t="n">
        <v>9000</v>
      </c>
      <c r="D173" s="2" t="n">
        <v>6</v>
      </c>
      <c r="E173" s="2" t="n">
        <v>6</v>
      </c>
    </row>
    <row r="174" customFormat="false" ht="15" hidden="false" customHeight="false" outlineLevel="0" collapsed="false">
      <c r="A174" s="2" t="s">
        <v>182</v>
      </c>
      <c r="B174" s="2" t="s">
        <v>8</v>
      </c>
      <c r="C174" s="3" t="n">
        <v>7700</v>
      </c>
      <c r="D174" s="2" t="n">
        <v>7</v>
      </c>
      <c r="E174" s="2" t="n">
        <v>7</v>
      </c>
    </row>
    <row r="175" customFormat="false" ht="15" hidden="false" customHeight="false" outlineLevel="0" collapsed="false">
      <c r="A175" s="2" t="s">
        <v>183</v>
      </c>
      <c r="B175" s="2" t="s">
        <v>12</v>
      </c>
      <c r="C175" s="3" t="n">
        <v>13700</v>
      </c>
      <c r="D175" s="2" t="n">
        <v>46</v>
      </c>
      <c r="E175" s="2" t="n">
        <v>46</v>
      </c>
    </row>
    <row r="176" customFormat="false" ht="15" hidden="false" customHeight="false" outlineLevel="0" collapsed="false">
      <c r="A176" s="2" t="s">
        <v>184</v>
      </c>
      <c r="B176" s="2" t="s">
        <v>8</v>
      </c>
      <c r="C176" s="3" t="n">
        <v>4800</v>
      </c>
      <c r="D176" s="2" t="n">
        <v>2</v>
      </c>
      <c r="E176" s="2" t="n">
        <v>22</v>
      </c>
    </row>
    <row r="177" customFormat="false" ht="15" hidden="false" customHeight="false" outlineLevel="0" collapsed="false">
      <c r="A177" s="2" t="s">
        <v>185</v>
      </c>
      <c r="B177" s="2" t="s">
        <v>10</v>
      </c>
      <c r="C177" s="3" t="n">
        <v>7500</v>
      </c>
      <c r="D177" s="2" t="n">
        <v>39</v>
      </c>
      <c r="E177" s="2" t="n">
        <v>39</v>
      </c>
    </row>
    <row r="178" customFormat="false" ht="15" hidden="false" customHeight="false" outlineLevel="0" collapsed="false">
      <c r="A178" s="2" t="s">
        <v>186</v>
      </c>
      <c r="B178" s="2" t="s">
        <v>8</v>
      </c>
      <c r="C178" s="3" t="n">
        <v>13700</v>
      </c>
      <c r="D178" s="2" t="n">
        <v>32</v>
      </c>
      <c r="E178" s="2" t="n">
        <v>32</v>
      </c>
    </row>
    <row r="179" customFormat="false" ht="15" hidden="false" customHeight="false" outlineLevel="0" collapsed="false">
      <c r="A179" s="2" t="s">
        <v>187</v>
      </c>
      <c r="B179" s="2" t="s">
        <v>12</v>
      </c>
      <c r="C179" s="3" t="n">
        <v>11000</v>
      </c>
      <c r="D179" s="2" t="n">
        <v>41</v>
      </c>
      <c r="E179" s="2" t="n">
        <v>41</v>
      </c>
    </row>
    <row r="180" customFormat="false" ht="15" hidden="false" customHeight="false" outlineLevel="0" collapsed="false">
      <c r="A180" s="2" t="s">
        <v>188</v>
      </c>
      <c r="B180" s="2" t="s">
        <v>6</v>
      </c>
      <c r="C180" s="3" t="n">
        <v>3900</v>
      </c>
      <c r="D180" s="2" t="n">
        <v>43</v>
      </c>
      <c r="E180" s="2" t="n">
        <v>43</v>
      </c>
    </row>
    <row r="181" customFormat="false" ht="15" hidden="false" customHeight="false" outlineLevel="0" collapsed="false">
      <c r="A181" s="2" t="s">
        <v>189</v>
      </c>
      <c r="B181" s="2" t="s">
        <v>15</v>
      </c>
      <c r="C181" s="3" t="n">
        <v>11700</v>
      </c>
      <c r="D181" s="2" t="n">
        <v>5</v>
      </c>
      <c r="E181" s="2" t="n">
        <v>5</v>
      </c>
    </row>
    <row r="182" customFormat="false" ht="15" hidden="false" customHeight="false" outlineLevel="0" collapsed="false">
      <c r="A182" s="2" t="s">
        <v>190</v>
      </c>
      <c r="B182" s="2" t="s">
        <v>12</v>
      </c>
      <c r="C182" s="3" t="n">
        <v>6200</v>
      </c>
      <c r="D182" s="2" t="n">
        <v>36</v>
      </c>
      <c r="E182" s="2" t="n">
        <v>36</v>
      </c>
    </row>
    <row r="183" customFormat="false" ht="15" hidden="false" customHeight="false" outlineLevel="0" collapsed="false">
      <c r="A183" s="2" t="s">
        <v>191</v>
      </c>
      <c r="B183" s="2" t="s">
        <v>12</v>
      </c>
      <c r="C183" s="3" t="n">
        <v>10000</v>
      </c>
      <c r="D183" s="2" t="n">
        <v>1</v>
      </c>
      <c r="E183" s="2" t="n">
        <v>1</v>
      </c>
    </row>
    <row r="184" customFormat="false" ht="15" hidden="false" customHeight="false" outlineLevel="0" collapsed="false">
      <c r="A184" s="2" t="s">
        <v>192</v>
      </c>
      <c r="B184" s="2" t="s">
        <v>12</v>
      </c>
      <c r="C184" s="3" t="n">
        <v>9600</v>
      </c>
      <c r="D184" s="2" t="n">
        <v>1</v>
      </c>
      <c r="E184" s="2" t="n">
        <v>1</v>
      </c>
    </row>
    <row r="185" customFormat="false" ht="15" hidden="false" customHeight="false" outlineLevel="0" collapsed="false">
      <c r="A185" s="2" t="s">
        <v>193</v>
      </c>
      <c r="B185" s="2" t="s">
        <v>15</v>
      </c>
      <c r="C185" s="3" t="n">
        <v>15800</v>
      </c>
      <c r="D185" s="2" t="n">
        <v>25</v>
      </c>
      <c r="E185" s="2" t="n">
        <v>25</v>
      </c>
    </row>
    <row r="186" customFormat="false" ht="15" hidden="false" customHeight="false" outlineLevel="0" collapsed="false">
      <c r="A186" s="2" t="s">
        <v>194</v>
      </c>
      <c r="B186" s="2" t="s">
        <v>8</v>
      </c>
      <c r="C186" s="3" t="n">
        <v>8600</v>
      </c>
      <c r="D186" s="2" t="n">
        <v>2</v>
      </c>
      <c r="E186" s="2" t="n">
        <v>2</v>
      </c>
    </row>
    <row r="187" customFormat="false" ht="15" hidden="false" customHeight="false" outlineLevel="0" collapsed="false">
      <c r="A187" s="2" t="s">
        <v>195</v>
      </c>
      <c r="B187" s="2" t="s">
        <v>15</v>
      </c>
      <c r="C187" s="3" t="n">
        <v>2900</v>
      </c>
      <c r="D187" s="2" t="n">
        <v>35</v>
      </c>
      <c r="E187" s="2" t="n">
        <v>35</v>
      </c>
    </row>
    <row r="188" customFormat="false" ht="15" hidden="false" customHeight="false" outlineLevel="0" collapsed="false">
      <c r="A188" s="2" t="s">
        <v>196</v>
      </c>
      <c r="B188" s="2" t="s">
        <v>12</v>
      </c>
      <c r="C188" s="3" t="n">
        <v>3800</v>
      </c>
      <c r="D188" s="2" t="n">
        <v>46</v>
      </c>
      <c r="E188" s="2" t="n">
        <v>46</v>
      </c>
    </row>
    <row r="189" customFormat="false" ht="15" hidden="false" customHeight="false" outlineLevel="0" collapsed="false">
      <c r="A189" s="2" t="s">
        <v>197</v>
      </c>
      <c r="B189" s="2" t="s">
        <v>6</v>
      </c>
      <c r="C189" s="3" t="n">
        <v>12100</v>
      </c>
      <c r="D189" s="2" t="n">
        <v>28</v>
      </c>
      <c r="E189" s="2" t="n">
        <v>28</v>
      </c>
    </row>
    <row r="190" customFormat="false" ht="15" hidden="false" customHeight="false" outlineLevel="0" collapsed="false">
      <c r="A190" s="2" t="s">
        <v>198</v>
      </c>
      <c r="B190" s="2" t="s">
        <v>15</v>
      </c>
      <c r="C190" s="3" t="n">
        <v>7000</v>
      </c>
      <c r="D190" s="2" t="n">
        <v>25</v>
      </c>
      <c r="E190" s="2" t="n">
        <v>25</v>
      </c>
    </row>
    <row r="191" customFormat="false" ht="15" hidden="false" customHeight="false" outlineLevel="0" collapsed="false">
      <c r="A191" s="2" t="s">
        <v>199</v>
      </c>
      <c r="B191" s="2" t="s">
        <v>12</v>
      </c>
      <c r="C191" s="3" t="n">
        <v>15200</v>
      </c>
      <c r="D191" s="2" t="n">
        <v>16</v>
      </c>
      <c r="E191" s="2" t="n">
        <v>16</v>
      </c>
    </row>
    <row r="192" customFormat="false" ht="15" hidden="false" customHeight="false" outlineLevel="0" collapsed="false">
      <c r="A192" s="2" t="s">
        <v>200</v>
      </c>
      <c r="B192" s="2" t="s">
        <v>12</v>
      </c>
      <c r="C192" s="3" t="n">
        <v>9400</v>
      </c>
      <c r="D192" s="2" t="n">
        <v>36</v>
      </c>
      <c r="E192" s="2" t="n">
        <v>36</v>
      </c>
    </row>
    <row r="193" customFormat="false" ht="15" hidden="false" customHeight="false" outlineLevel="0" collapsed="false">
      <c r="A193" s="2" t="s">
        <v>201</v>
      </c>
      <c r="B193" s="2" t="s">
        <v>8</v>
      </c>
      <c r="C193" s="3" t="n">
        <v>5400</v>
      </c>
      <c r="D193" s="2" t="n">
        <v>2</v>
      </c>
      <c r="E193" s="2" t="n">
        <v>22</v>
      </c>
    </row>
    <row r="194" customFormat="false" ht="15" hidden="false" customHeight="false" outlineLevel="0" collapsed="false">
      <c r="A194" s="2" t="s">
        <v>202</v>
      </c>
      <c r="B194" s="2" t="s">
        <v>15</v>
      </c>
      <c r="C194" s="3" t="n">
        <v>14700</v>
      </c>
      <c r="D194" s="2" t="n">
        <v>15</v>
      </c>
      <c r="E194" s="2" t="n">
        <v>15</v>
      </c>
    </row>
    <row r="195" customFormat="false" ht="15" hidden="false" customHeight="false" outlineLevel="0" collapsed="false">
      <c r="A195" s="2" t="s">
        <v>203</v>
      </c>
      <c r="B195" s="2" t="s">
        <v>10</v>
      </c>
      <c r="C195" s="3" t="n">
        <v>5200</v>
      </c>
      <c r="D195" s="2" t="n">
        <v>49</v>
      </c>
      <c r="E195" s="2" t="n">
        <v>49</v>
      </c>
    </row>
    <row r="196" customFormat="false" ht="15" hidden="false" customHeight="false" outlineLevel="0" collapsed="false">
      <c r="A196" s="2" t="s">
        <v>204</v>
      </c>
      <c r="B196" s="2" t="s">
        <v>8</v>
      </c>
      <c r="C196" s="3" t="n">
        <v>2600</v>
      </c>
      <c r="D196" s="2" t="n">
        <v>7</v>
      </c>
      <c r="E196" s="2" t="n">
        <v>7</v>
      </c>
    </row>
    <row r="197" customFormat="false" ht="15" hidden="false" customHeight="false" outlineLevel="0" collapsed="false">
      <c r="A197" s="2" t="s">
        <v>205</v>
      </c>
      <c r="B197" s="2" t="s">
        <v>6</v>
      </c>
      <c r="C197" s="3" t="n">
        <v>25200</v>
      </c>
      <c r="D197" s="2" t="n">
        <v>13</v>
      </c>
      <c r="E197" s="2" t="n">
        <v>13</v>
      </c>
    </row>
    <row r="198" customFormat="false" ht="15" hidden="false" customHeight="false" outlineLevel="0" collapsed="false">
      <c r="A198" s="2" t="s">
        <v>206</v>
      </c>
      <c r="B198" s="2" t="s">
        <v>6</v>
      </c>
      <c r="C198" s="3" t="n">
        <v>2800</v>
      </c>
      <c r="D198" s="2" t="n">
        <v>38</v>
      </c>
      <c r="E198" s="2" t="n">
        <v>38</v>
      </c>
    </row>
    <row r="199" customFormat="false" ht="15" hidden="false" customHeight="false" outlineLevel="0" collapsed="false">
      <c r="A199" s="2" t="s">
        <v>207</v>
      </c>
      <c r="B199" s="2" t="s">
        <v>15</v>
      </c>
      <c r="C199" s="3" t="n">
        <v>11500</v>
      </c>
      <c r="D199" s="2" t="n">
        <v>5</v>
      </c>
      <c r="E199" s="2" t="n">
        <v>5</v>
      </c>
    </row>
    <row r="200" customFormat="false" ht="15" hidden="false" customHeight="false" outlineLevel="0" collapsed="false">
      <c r="A200" s="2" t="s">
        <v>208</v>
      </c>
      <c r="B200" s="2" t="s">
        <v>6</v>
      </c>
      <c r="C200" s="3" t="n">
        <v>13600</v>
      </c>
      <c r="D200" s="2" t="n">
        <v>23</v>
      </c>
      <c r="E200" s="2" t="n">
        <v>23</v>
      </c>
    </row>
    <row r="201" customFormat="false" ht="15" hidden="false" customHeight="false" outlineLevel="0" collapsed="false">
      <c r="A201" s="2" t="s">
        <v>209</v>
      </c>
      <c r="B201" s="2" t="s">
        <v>10</v>
      </c>
      <c r="C201" s="3" t="n">
        <v>8800</v>
      </c>
      <c r="D201" s="2" t="n">
        <v>49</v>
      </c>
      <c r="E201" s="2" t="n">
        <v>49</v>
      </c>
    </row>
    <row r="202" customFormat="false" ht="15" hidden="false" customHeight="false" outlineLevel="0" collapsed="false">
      <c r="A202" s="2" t="s">
        <v>210</v>
      </c>
      <c r="B202" s="2" t="s">
        <v>12</v>
      </c>
      <c r="C202" s="3" t="n">
        <v>3200</v>
      </c>
      <c r="D202" s="2" t="n">
        <v>11</v>
      </c>
      <c r="E202" s="2" t="n">
        <v>26</v>
      </c>
    </row>
    <row r="203" customFormat="false" ht="15" hidden="false" customHeight="false" outlineLevel="0" collapsed="false">
      <c r="A203" s="2" t="s">
        <v>211</v>
      </c>
      <c r="B203" s="2" t="s">
        <v>12</v>
      </c>
      <c r="C203" s="3" t="n">
        <v>14200</v>
      </c>
      <c r="D203" s="2" t="n">
        <v>11</v>
      </c>
      <c r="E203" s="2" t="n">
        <v>11</v>
      </c>
    </row>
    <row r="204" customFormat="false" ht="15" hidden="false" customHeight="false" outlineLevel="0" collapsed="false">
      <c r="A204" s="2" t="s">
        <v>212</v>
      </c>
      <c r="B204" s="2" t="s">
        <v>10</v>
      </c>
      <c r="C204" s="3" t="n">
        <v>3700</v>
      </c>
      <c r="D204" s="2" t="n">
        <v>44</v>
      </c>
      <c r="E204" s="2" t="n">
        <v>44</v>
      </c>
    </row>
    <row r="205" customFormat="false" ht="15" hidden="false" customHeight="false" outlineLevel="0" collapsed="false">
      <c r="A205" s="2" t="s">
        <v>213</v>
      </c>
      <c r="B205" s="2" t="s">
        <v>10</v>
      </c>
      <c r="C205" s="3" t="n">
        <v>3900</v>
      </c>
      <c r="D205" s="2" t="n">
        <v>9</v>
      </c>
      <c r="E205" s="2" t="n">
        <v>9</v>
      </c>
    </row>
    <row r="206" customFormat="false" ht="15" hidden="false" customHeight="false" outlineLevel="0" collapsed="false">
      <c r="A206" s="2" t="s">
        <v>214</v>
      </c>
      <c r="B206" s="2" t="s">
        <v>10</v>
      </c>
      <c r="C206" s="3" t="n">
        <v>6600</v>
      </c>
      <c r="D206" s="2" t="n">
        <v>24</v>
      </c>
      <c r="E206" s="2" t="n">
        <v>24</v>
      </c>
    </row>
    <row r="207" customFormat="false" ht="15" hidden="false" customHeight="false" outlineLevel="0" collapsed="false">
      <c r="A207" s="2" t="s">
        <v>215</v>
      </c>
      <c r="B207" s="2" t="s">
        <v>10</v>
      </c>
      <c r="C207" s="3" t="n">
        <v>12500</v>
      </c>
      <c r="D207" s="2" t="n">
        <v>24</v>
      </c>
      <c r="E207" s="2" t="n">
        <v>24</v>
      </c>
    </row>
    <row r="208" customFormat="false" ht="15" hidden="false" customHeight="false" outlineLevel="0" collapsed="false">
      <c r="A208" s="2" t="s">
        <v>216</v>
      </c>
      <c r="B208" s="2" t="s">
        <v>6</v>
      </c>
      <c r="C208" s="3" t="n">
        <v>9600</v>
      </c>
      <c r="D208" s="2" t="n">
        <v>3</v>
      </c>
      <c r="E208" s="2" t="n">
        <v>3</v>
      </c>
    </row>
    <row r="209" customFormat="false" ht="15" hidden="false" customHeight="false" outlineLevel="0" collapsed="false">
      <c r="A209" s="2" t="s">
        <v>217</v>
      </c>
      <c r="B209" s="2" t="s">
        <v>12</v>
      </c>
      <c r="C209" s="3" t="n">
        <v>12700</v>
      </c>
      <c r="D209" s="2" t="n">
        <v>16</v>
      </c>
      <c r="E209" s="2" t="n">
        <v>16</v>
      </c>
    </row>
    <row r="210" customFormat="false" ht="15" hidden="false" customHeight="false" outlineLevel="0" collapsed="false">
      <c r="A210" s="2" t="s">
        <v>218</v>
      </c>
      <c r="B210" s="2" t="s">
        <v>8</v>
      </c>
      <c r="C210" s="3" t="n">
        <v>6300</v>
      </c>
      <c r="D210" s="2" t="n">
        <v>27</v>
      </c>
      <c r="E210" s="2" t="n">
        <v>27</v>
      </c>
    </row>
    <row r="211" customFormat="false" ht="15" hidden="false" customHeight="false" outlineLevel="0" collapsed="false">
      <c r="A211" s="2" t="s">
        <v>219</v>
      </c>
      <c r="B211" s="2" t="s">
        <v>12</v>
      </c>
      <c r="C211" s="3" t="n">
        <v>7400</v>
      </c>
      <c r="D211" s="2" t="n">
        <v>1</v>
      </c>
      <c r="E211" s="2" t="n">
        <v>1</v>
      </c>
    </row>
    <row r="212" customFormat="false" ht="15" hidden="false" customHeight="false" outlineLevel="0" collapsed="false">
      <c r="A212" s="2" t="s">
        <v>220</v>
      </c>
      <c r="B212" s="2" t="s">
        <v>6</v>
      </c>
      <c r="C212" s="3" t="n">
        <v>4300</v>
      </c>
      <c r="D212" s="2" t="n">
        <v>8</v>
      </c>
      <c r="E212" s="2" t="n">
        <v>23</v>
      </c>
    </row>
    <row r="213" customFormat="false" ht="15" hidden="false" customHeight="false" outlineLevel="0" collapsed="false">
      <c r="A213" s="2" t="s">
        <v>221</v>
      </c>
      <c r="B213" s="2" t="s">
        <v>6</v>
      </c>
      <c r="C213" s="3" t="n">
        <v>6800</v>
      </c>
      <c r="D213" s="2" t="n">
        <v>43</v>
      </c>
      <c r="E213" s="2" t="n">
        <v>43</v>
      </c>
    </row>
    <row r="214" customFormat="false" ht="15" hidden="false" customHeight="false" outlineLevel="0" collapsed="false">
      <c r="A214" s="2" t="s">
        <v>222</v>
      </c>
      <c r="B214" s="2" t="s">
        <v>10</v>
      </c>
      <c r="C214" s="3" t="n">
        <v>11200</v>
      </c>
      <c r="D214" s="2" t="n">
        <v>29</v>
      </c>
      <c r="E214" s="2" t="n">
        <v>29</v>
      </c>
    </row>
    <row r="215" customFormat="false" ht="15" hidden="false" customHeight="false" outlineLevel="0" collapsed="false">
      <c r="A215" s="2" t="s">
        <v>223</v>
      </c>
      <c r="B215" s="2" t="s">
        <v>8</v>
      </c>
      <c r="C215" s="3" t="n">
        <v>6900</v>
      </c>
      <c r="D215" s="2" t="n">
        <v>2</v>
      </c>
      <c r="E215" s="2" t="n">
        <v>22</v>
      </c>
    </row>
    <row r="216" customFormat="false" ht="15" hidden="false" customHeight="false" outlineLevel="0" collapsed="false">
      <c r="A216" s="2" t="s">
        <v>224</v>
      </c>
      <c r="B216" s="2" t="s">
        <v>15</v>
      </c>
      <c r="C216" s="3" t="n">
        <v>10500</v>
      </c>
      <c r="D216" s="2" t="n">
        <v>10</v>
      </c>
      <c r="E216" s="2" t="n">
        <v>10</v>
      </c>
    </row>
    <row r="217" customFormat="false" ht="15" hidden="false" customHeight="false" outlineLevel="0" collapsed="false">
      <c r="A217" s="2" t="s">
        <v>225</v>
      </c>
      <c r="B217" s="2" t="s">
        <v>12</v>
      </c>
      <c r="C217" s="3" t="n">
        <v>5900</v>
      </c>
      <c r="D217" s="2" t="n">
        <v>16</v>
      </c>
      <c r="E217" s="2" t="n">
        <v>16</v>
      </c>
    </row>
    <row r="218" customFormat="false" ht="15" hidden="false" customHeight="false" outlineLevel="0" collapsed="false">
      <c r="A218" s="2" t="s">
        <v>226</v>
      </c>
      <c r="B218" s="2" t="s">
        <v>8</v>
      </c>
      <c r="C218" s="3" t="n">
        <v>5800</v>
      </c>
      <c r="D218" s="2" t="n">
        <v>12</v>
      </c>
      <c r="E218" s="2" t="n">
        <v>12</v>
      </c>
    </row>
    <row r="219" customFormat="false" ht="15" hidden="false" customHeight="false" outlineLevel="0" collapsed="false">
      <c r="A219" s="2" t="s">
        <v>227</v>
      </c>
      <c r="B219" s="2" t="s">
        <v>15</v>
      </c>
      <c r="C219" s="3" t="n">
        <v>8300</v>
      </c>
      <c r="D219" s="2" t="n">
        <v>20</v>
      </c>
      <c r="E219" s="2" t="n">
        <v>20</v>
      </c>
    </row>
    <row r="220" customFormat="false" ht="15" hidden="false" customHeight="false" outlineLevel="0" collapsed="false">
      <c r="A220" s="2" t="s">
        <v>228</v>
      </c>
      <c r="B220" s="2" t="s">
        <v>6</v>
      </c>
      <c r="C220" s="3" t="n">
        <v>7300</v>
      </c>
      <c r="D220" s="2" t="n">
        <v>33</v>
      </c>
      <c r="E220" s="2" t="n">
        <v>33</v>
      </c>
    </row>
    <row r="221" customFormat="false" ht="15" hidden="false" customHeight="false" outlineLevel="0" collapsed="false">
      <c r="A221" s="2" t="s">
        <v>229</v>
      </c>
      <c r="B221" s="2" t="s">
        <v>8</v>
      </c>
      <c r="C221" s="3" t="n">
        <v>11200</v>
      </c>
      <c r="D221" s="2" t="n">
        <v>32</v>
      </c>
      <c r="E221" s="2" t="n">
        <v>32</v>
      </c>
    </row>
    <row r="222" customFormat="false" ht="15" hidden="false" customHeight="false" outlineLevel="0" collapsed="false">
      <c r="A222" s="2" t="s">
        <v>230</v>
      </c>
      <c r="B222" s="2" t="s">
        <v>15</v>
      </c>
      <c r="C222" s="3" t="n">
        <v>8900</v>
      </c>
      <c r="D222" s="2" t="n">
        <v>15</v>
      </c>
      <c r="E222" s="2" t="n">
        <v>15</v>
      </c>
    </row>
    <row r="223" customFormat="false" ht="15" hidden="false" customHeight="false" outlineLevel="0" collapsed="false">
      <c r="A223" s="2" t="s">
        <v>231</v>
      </c>
      <c r="B223" s="2" t="s">
        <v>12</v>
      </c>
      <c r="C223" s="3" t="n">
        <v>21100</v>
      </c>
      <c r="D223" s="2" t="n">
        <v>16</v>
      </c>
      <c r="E223" s="2" t="n">
        <v>16</v>
      </c>
    </row>
    <row r="224" customFormat="false" ht="15" hidden="false" customHeight="false" outlineLevel="0" collapsed="false">
      <c r="A224" s="2" t="s">
        <v>232</v>
      </c>
      <c r="B224" s="2" t="s">
        <v>15</v>
      </c>
      <c r="C224" s="3" t="n">
        <v>7200</v>
      </c>
      <c r="D224" s="2" t="n">
        <v>5</v>
      </c>
      <c r="E224" s="2" t="n">
        <v>50</v>
      </c>
    </row>
    <row r="225" customFormat="false" ht="15" hidden="false" customHeight="false" outlineLevel="0" collapsed="false">
      <c r="A225" s="2" t="s">
        <v>233</v>
      </c>
      <c r="B225" s="2" t="s">
        <v>6</v>
      </c>
      <c r="C225" s="3" t="n">
        <v>7200</v>
      </c>
      <c r="D225" s="2" t="n">
        <v>13</v>
      </c>
      <c r="E225" s="2" t="n">
        <v>13</v>
      </c>
    </row>
    <row r="226" customFormat="false" ht="15" hidden="false" customHeight="false" outlineLevel="0" collapsed="false">
      <c r="A226" s="2" t="s">
        <v>234</v>
      </c>
      <c r="B226" s="2" t="s">
        <v>12</v>
      </c>
      <c r="C226" s="3" t="n">
        <v>4600</v>
      </c>
      <c r="D226" s="2" t="n">
        <v>41</v>
      </c>
      <c r="E226" s="2" t="n">
        <v>41</v>
      </c>
    </row>
    <row r="227" customFormat="false" ht="15" hidden="false" customHeight="false" outlineLevel="0" collapsed="false">
      <c r="A227" s="2" t="s">
        <v>235</v>
      </c>
      <c r="B227" s="2" t="s">
        <v>6</v>
      </c>
      <c r="C227" s="3" t="n">
        <v>8200</v>
      </c>
      <c r="D227" s="2" t="n">
        <v>3</v>
      </c>
      <c r="E227" s="2" t="n">
        <v>3</v>
      </c>
    </row>
    <row r="228" customFormat="false" ht="15" hidden="false" customHeight="false" outlineLevel="0" collapsed="false">
      <c r="A228" s="2" t="s">
        <v>236</v>
      </c>
      <c r="B228" s="2" t="s">
        <v>15</v>
      </c>
      <c r="C228" s="3" t="n">
        <v>11800</v>
      </c>
      <c r="D228" s="2" t="n">
        <v>20</v>
      </c>
      <c r="E228" s="2" t="n">
        <v>20</v>
      </c>
    </row>
    <row r="229" customFormat="false" ht="15" hidden="false" customHeight="false" outlineLevel="0" collapsed="false">
      <c r="A229" s="2" t="s">
        <v>237</v>
      </c>
      <c r="B229" s="2" t="s">
        <v>6</v>
      </c>
      <c r="C229" s="3" t="n">
        <v>5400</v>
      </c>
      <c r="D229" s="2" t="n">
        <v>8</v>
      </c>
      <c r="E229" s="2" t="n">
        <v>33</v>
      </c>
    </row>
    <row r="230" customFormat="false" ht="15" hidden="false" customHeight="false" outlineLevel="0" collapsed="false">
      <c r="A230" s="2" t="s">
        <v>238</v>
      </c>
      <c r="B230" s="2" t="s">
        <v>8</v>
      </c>
      <c r="C230" s="3" t="n">
        <v>7900</v>
      </c>
      <c r="D230" s="2" t="n">
        <v>37</v>
      </c>
      <c r="E230" s="2" t="n">
        <v>37</v>
      </c>
    </row>
    <row r="231" customFormat="false" ht="15" hidden="false" customHeight="false" outlineLevel="0" collapsed="false">
      <c r="A231" s="2" t="s">
        <v>239</v>
      </c>
      <c r="B231" s="2" t="s">
        <v>6</v>
      </c>
      <c r="C231" s="3" t="n">
        <v>12000</v>
      </c>
      <c r="D231" s="2" t="n">
        <v>8</v>
      </c>
      <c r="E231" s="2" t="n">
        <v>8</v>
      </c>
    </row>
    <row r="232" customFormat="false" ht="15" hidden="false" customHeight="false" outlineLevel="0" collapsed="false">
      <c r="A232" s="2" t="s">
        <v>240</v>
      </c>
      <c r="B232" s="2" t="s">
        <v>8</v>
      </c>
      <c r="C232" s="3" t="n">
        <v>7600</v>
      </c>
      <c r="D232" s="2" t="n">
        <v>17</v>
      </c>
      <c r="E232" s="2" t="n">
        <v>17</v>
      </c>
    </row>
    <row r="233" customFormat="false" ht="15" hidden="false" customHeight="false" outlineLevel="0" collapsed="false">
      <c r="A233" s="2" t="s">
        <v>241</v>
      </c>
      <c r="B233" s="2" t="s">
        <v>15</v>
      </c>
      <c r="C233" s="3" t="n">
        <v>6100</v>
      </c>
      <c r="D233" s="2" t="n">
        <v>15</v>
      </c>
      <c r="E233" s="2" t="n">
        <v>35</v>
      </c>
    </row>
    <row r="234" customFormat="false" ht="15" hidden="false" customHeight="false" outlineLevel="0" collapsed="false">
      <c r="A234" s="2" t="s">
        <v>242</v>
      </c>
      <c r="B234" s="2" t="s">
        <v>15</v>
      </c>
      <c r="C234" s="3" t="n">
        <v>13800</v>
      </c>
      <c r="D234" s="2" t="n">
        <v>45</v>
      </c>
      <c r="E234" s="2" t="n">
        <v>45</v>
      </c>
    </row>
    <row r="235" customFormat="false" ht="15" hidden="false" customHeight="false" outlineLevel="0" collapsed="false">
      <c r="A235" s="2" t="s">
        <v>243</v>
      </c>
      <c r="B235" s="2" t="s">
        <v>15</v>
      </c>
      <c r="C235" s="3" t="n">
        <v>8500</v>
      </c>
      <c r="D235" s="2" t="n">
        <v>5</v>
      </c>
      <c r="E235" s="2" t="n">
        <v>5</v>
      </c>
    </row>
    <row r="236" customFormat="false" ht="15" hidden="false" customHeight="false" outlineLevel="0" collapsed="false">
      <c r="A236" s="2" t="s">
        <v>244</v>
      </c>
      <c r="B236" s="2" t="s">
        <v>6</v>
      </c>
      <c r="C236" s="3" t="n">
        <v>10100</v>
      </c>
      <c r="D236" s="2" t="n">
        <v>28</v>
      </c>
      <c r="E236" s="2" t="n">
        <v>28</v>
      </c>
    </row>
    <row r="237" customFormat="false" ht="15" hidden="false" customHeight="false" outlineLevel="0" collapsed="false">
      <c r="A237" s="2" t="s">
        <v>245</v>
      </c>
      <c r="B237" s="2" t="s">
        <v>8</v>
      </c>
      <c r="C237" s="3" t="n">
        <v>15400</v>
      </c>
      <c r="D237" s="2" t="n">
        <v>27</v>
      </c>
      <c r="E237" s="2" t="n">
        <v>27</v>
      </c>
    </row>
    <row r="238" customFormat="false" ht="15" hidden="false" customHeight="false" outlineLevel="0" collapsed="false">
      <c r="A238" s="2" t="s">
        <v>246</v>
      </c>
      <c r="B238" s="2" t="s">
        <v>15</v>
      </c>
      <c r="C238" s="3" t="n">
        <v>15200</v>
      </c>
      <c r="D238" s="2" t="n">
        <v>45</v>
      </c>
      <c r="E238" s="2" t="n">
        <v>45</v>
      </c>
    </row>
    <row r="239" customFormat="false" ht="15" hidden="false" customHeight="false" outlineLevel="0" collapsed="false">
      <c r="A239" s="2" t="s">
        <v>247</v>
      </c>
      <c r="B239" s="2" t="s">
        <v>8</v>
      </c>
      <c r="C239" s="3" t="n">
        <v>6700</v>
      </c>
      <c r="D239" s="2" t="n">
        <v>17</v>
      </c>
      <c r="E239" s="2" t="n">
        <v>17</v>
      </c>
    </row>
    <row r="240" customFormat="false" ht="15" hidden="false" customHeight="false" outlineLevel="0" collapsed="false">
      <c r="A240" s="2" t="s">
        <v>248</v>
      </c>
      <c r="B240" s="2" t="s">
        <v>8</v>
      </c>
      <c r="C240" s="3" t="n">
        <v>6100</v>
      </c>
      <c r="D240" s="2" t="n">
        <v>42</v>
      </c>
      <c r="E240" s="2" t="n">
        <v>42</v>
      </c>
    </row>
    <row r="241" customFormat="false" ht="15" hidden="false" customHeight="false" outlineLevel="0" collapsed="false">
      <c r="A241" s="2" t="s">
        <v>249</v>
      </c>
      <c r="B241" s="2" t="s">
        <v>10</v>
      </c>
      <c r="C241" s="3" t="n">
        <v>9500</v>
      </c>
      <c r="D241" s="2" t="n">
        <v>4</v>
      </c>
      <c r="E241" s="2" t="n">
        <v>4</v>
      </c>
    </row>
    <row r="242" customFormat="false" ht="15" hidden="false" customHeight="false" outlineLevel="0" collapsed="false">
      <c r="A242" s="2" t="s">
        <v>250</v>
      </c>
      <c r="B242" s="2" t="s">
        <v>8</v>
      </c>
      <c r="C242" s="3" t="n">
        <v>7500</v>
      </c>
      <c r="D242" s="2" t="n">
        <v>22</v>
      </c>
      <c r="E242" s="2" t="n">
        <v>22</v>
      </c>
    </row>
    <row r="243" customFormat="false" ht="15" hidden="false" customHeight="false" outlineLevel="0" collapsed="false">
      <c r="A243" s="2" t="s">
        <v>251</v>
      </c>
      <c r="B243" s="2" t="s">
        <v>8</v>
      </c>
      <c r="C243" s="3" t="n">
        <v>2900</v>
      </c>
      <c r="D243" s="2" t="n">
        <v>47</v>
      </c>
      <c r="E243" s="2" t="n">
        <v>47</v>
      </c>
    </row>
    <row r="244" customFormat="false" ht="15" hidden="false" customHeight="false" outlineLevel="0" collapsed="false">
      <c r="A244" s="2" t="s">
        <v>252</v>
      </c>
      <c r="B244" s="2" t="s">
        <v>15</v>
      </c>
      <c r="C244" s="3" t="n">
        <v>16300</v>
      </c>
      <c r="D244" s="2" t="n">
        <v>5</v>
      </c>
      <c r="E244" s="2" t="n">
        <v>5</v>
      </c>
    </row>
    <row r="245" customFormat="false" ht="15" hidden="false" customHeight="false" outlineLevel="0" collapsed="false">
      <c r="A245" s="2" t="s">
        <v>253</v>
      </c>
      <c r="B245" s="2" t="s">
        <v>10</v>
      </c>
      <c r="C245" s="3" t="n">
        <v>8200</v>
      </c>
      <c r="D245" s="2" t="n">
        <v>4</v>
      </c>
      <c r="E245" s="2" t="n">
        <v>4</v>
      </c>
    </row>
    <row r="246" customFormat="false" ht="15" hidden="false" customHeight="false" outlineLevel="0" collapsed="false">
      <c r="A246" s="2" t="s">
        <v>254</v>
      </c>
      <c r="B246" s="2" t="s">
        <v>6</v>
      </c>
      <c r="C246" s="3" t="n">
        <v>12100</v>
      </c>
      <c r="D246" s="2" t="n">
        <v>23</v>
      </c>
      <c r="E246" s="2" t="n">
        <v>23</v>
      </c>
    </row>
    <row r="247" customFormat="false" ht="15" hidden="false" customHeight="false" outlineLevel="0" collapsed="false">
      <c r="A247" s="2" t="s">
        <v>255</v>
      </c>
      <c r="B247" s="2" t="s">
        <v>12</v>
      </c>
      <c r="C247" s="3" t="n">
        <v>4300</v>
      </c>
      <c r="D247" s="2" t="n">
        <v>16</v>
      </c>
      <c r="E247" s="2" t="n">
        <v>31</v>
      </c>
    </row>
    <row r="248" customFormat="false" ht="15" hidden="false" customHeight="false" outlineLevel="0" collapsed="false">
      <c r="A248" s="2" t="s">
        <v>256</v>
      </c>
      <c r="B248" s="2" t="s">
        <v>12</v>
      </c>
      <c r="C248" s="3" t="n">
        <v>16500</v>
      </c>
      <c r="D248" s="2" t="n">
        <v>31</v>
      </c>
      <c r="E248" s="2" t="n">
        <v>31</v>
      </c>
    </row>
    <row r="249" customFormat="false" ht="15" hidden="false" customHeight="false" outlineLevel="0" collapsed="false">
      <c r="A249" s="2" t="s">
        <v>257</v>
      </c>
      <c r="B249" s="2" t="s">
        <v>6</v>
      </c>
      <c r="C249" s="3" t="n">
        <v>5900</v>
      </c>
      <c r="D249" s="2" t="n">
        <v>8</v>
      </c>
      <c r="E249" s="2" t="n">
        <v>23</v>
      </c>
    </row>
    <row r="250" customFormat="false" ht="15" hidden="false" customHeight="false" outlineLevel="0" collapsed="false">
      <c r="A250" s="2" t="s">
        <v>258</v>
      </c>
      <c r="B250" s="2" t="s">
        <v>10</v>
      </c>
      <c r="C250" s="3" t="n">
        <v>7600</v>
      </c>
      <c r="D250" s="2" t="n">
        <v>19</v>
      </c>
      <c r="E250" s="2" t="n">
        <v>19</v>
      </c>
    </row>
    <row r="251" customFormat="false" ht="15" hidden="false" customHeight="false" outlineLevel="0" collapsed="false">
      <c r="A251" s="2" t="s">
        <v>259</v>
      </c>
      <c r="B251" s="2" t="s">
        <v>6</v>
      </c>
      <c r="C251" s="3" t="n">
        <v>3700</v>
      </c>
      <c r="D251" s="2" t="n">
        <v>33</v>
      </c>
      <c r="E251" s="2" t="n">
        <v>33</v>
      </c>
    </row>
    <row r="252" customFormat="false" ht="15" hidden="false" customHeight="false" outlineLevel="0" collapsed="false">
      <c r="A252" s="2" t="s">
        <v>260</v>
      </c>
      <c r="B252" s="2" t="s">
        <v>8</v>
      </c>
      <c r="C252" s="3" t="n">
        <v>7400</v>
      </c>
      <c r="D252" s="2" t="n">
        <v>12</v>
      </c>
      <c r="E252" s="2" t="n">
        <v>12</v>
      </c>
    </row>
    <row r="253" customFormat="false" ht="15" hidden="false" customHeight="false" outlineLevel="0" collapsed="false">
      <c r="A253" s="2" t="s">
        <v>261</v>
      </c>
      <c r="B253" s="2" t="s">
        <v>15</v>
      </c>
      <c r="C253" s="3" t="n">
        <v>7100</v>
      </c>
      <c r="D253" s="2" t="n">
        <v>5</v>
      </c>
      <c r="E253" s="2" t="n">
        <v>45</v>
      </c>
    </row>
    <row r="254" customFormat="false" ht="15" hidden="false" customHeight="false" outlineLevel="0" collapsed="false">
      <c r="A254" s="2" t="s">
        <v>262</v>
      </c>
      <c r="B254" s="2" t="s">
        <v>6</v>
      </c>
      <c r="C254" s="3" t="n">
        <v>7300</v>
      </c>
      <c r="D254" s="2" t="n">
        <v>3</v>
      </c>
      <c r="E254" s="2" t="n">
        <v>3</v>
      </c>
    </row>
    <row r="255" customFormat="false" ht="15" hidden="false" customHeight="false" outlineLevel="0" collapsed="false">
      <c r="A255" s="2" t="s">
        <v>263</v>
      </c>
      <c r="B255" s="2" t="s">
        <v>10</v>
      </c>
      <c r="C255" s="3" t="n">
        <v>10300</v>
      </c>
      <c r="D255" s="2" t="n">
        <v>9</v>
      </c>
      <c r="E255" s="2" t="n">
        <v>9</v>
      </c>
    </row>
    <row r="256" customFormat="false" ht="15" hidden="false" customHeight="false" outlineLevel="0" collapsed="false">
      <c r="A256" s="2" t="s">
        <v>264</v>
      </c>
      <c r="B256" s="2" t="s">
        <v>6</v>
      </c>
      <c r="C256" s="3" t="n">
        <v>8400</v>
      </c>
      <c r="D256" s="2" t="n">
        <v>8</v>
      </c>
      <c r="E256" s="2" t="n">
        <v>8</v>
      </c>
    </row>
    <row r="257" customFormat="false" ht="15" hidden="false" customHeight="false" outlineLevel="0" collapsed="false">
      <c r="A257" s="2" t="s">
        <v>265</v>
      </c>
      <c r="B257" s="2" t="s">
        <v>6</v>
      </c>
      <c r="C257" s="3" t="n">
        <v>13900</v>
      </c>
      <c r="D257" s="2" t="n">
        <v>28</v>
      </c>
      <c r="E257" s="2" t="n">
        <v>28</v>
      </c>
    </row>
    <row r="258" customFormat="false" ht="15" hidden="false" customHeight="false" outlineLevel="0" collapsed="false">
      <c r="A258" s="2" t="s">
        <v>266</v>
      </c>
      <c r="B258" s="2" t="s">
        <v>12</v>
      </c>
      <c r="C258" s="3" t="n">
        <v>6300</v>
      </c>
      <c r="D258" s="2" t="n">
        <v>21</v>
      </c>
      <c r="E258" s="2" t="n">
        <v>21</v>
      </c>
    </row>
    <row r="259" customFormat="false" ht="15" hidden="false" customHeight="false" outlineLevel="0" collapsed="false">
      <c r="A259" s="2" t="s">
        <v>267</v>
      </c>
      <c r="B259" s="2" t="s">
        <v>8</v>
      </c>
      <c r="C259" s="3" t="n">
        <v>4700</v>
      </c>
      <c r="D259" s="2" t="n">
        <v>17</v>
      </c>
      <c r="E259" s="2" t="n">
        <v>17</v>
      </c>
    </row>
    <row r="260" customFormat="false" ht="15" hidden="false" customHeight="false" outlineLevel="0" collapsed="false">
      <c r="A260" s="2" t="s">
        <v>268</v>
      </c>
      <c r="B260" s="2" t="s">
        <v>12</v>
      </c>
      <c r="C260" s="3" t="n">
        <v>8000</v>
      </c>
      <c r="D260" s="2" t="n">
        <v>11</v>
      </c>
      <c r="E260" s="2" t="n">
        <v>11</v>
      </c>
    </row>
    <row r="261" customFormat="false" ht="15" hidden="false" customHeight="false" outlineLevel="0" collapsed="false">
      <c r="A261" s="2" t="s">
        <v>269</v>
      </c>
      <c r="B261" s="2" t="s">
        <v>8</v>
      </c>
      <c r="C261" s="3" t="n">
        <v>11400</v>
      </c>
      <c r="D261" s="2" t="n">
        <v>32</v>
      </c>
      <c r="E261" s="2" t="n">
        <v>32</v>
      </c>
    </row>
    <row r="262" customFormat="false" ht="15" hidden="false" customHeight="false" outlineLevel="0" collapsed="false">
      <c r="A262" s="2" t="s">
        <v>270</v>
      </c>
      <c r="B262" s="2" t="s">
        <v>10</v>
      </c>
      <c r="C262" s="3" t="n">
        <v>16100</v>
      </c>
      <c r="D262" s="2" t="n">
        <v>44</v>
      </c>
      <c r="E262" s="2" t="n">
        <v>44</v>
      </c>
    </row>
    <row r="263" customFormat="false" ht="15" hidden="false" customHeight="false" outlineLevel="0" collapsed="false">
      <c r="A263" s="2" t="s">
        <v>271</v>
      </c>
      <c r="B263" s="2" t="s">
        <v>8</v>
      </c>
      <c r="C263" s="3" t="n">
        <v>12700</v>
      </c>
      <c r="D263" s="2" t="n">
        <v>47</v>
      </c>
      <c r="E263" s="2" t="n">
        <v>47</v>
      </c>
    </row>
    <row r="264" customFormat="false" ht="15" hidden="false" customHeight="false" outlineLevel="0" collapsed="false">
      <c r="A264" s="2" t="s">
        <v>272</v>
      </c>
      <c r="B264" s="2" t="s">
        <v>6</v>
      </c>
      <c r="C264" s="3" t="n">
        <v>3100</v>
      </c>
      <c r="D264" s="2" t="n">
        <v>18</v>
      </c>
      <c r="E264" s="2" t="n">
        <v>18</v>
      </c>
    </row>
    <row r="265" customFormat="false" ht="15" hidden="false" customHeight="false" outlineLevel="0" collapsed="false">
      <c r="A265" s="2" t="s">
        <v>273</v>
      </c>
      <c r="B265" s="2" t="s">
        <v>8</v>
      </c>
      <c r="C265" s="3" t="n">
        <v>10000</v>
      </c>
      <c r="D265" s="2" t="n">
        <v>2</v>
      </c>
      <c r="E265" s="2" t="n">
        <v>2</v>
      </c>
    </row>
    <row r="266" customFormat="false" ht="15" hidden="false" customHeight="false" outlineLevel="0" collapsed="false">
      <c r="A266" s="2" t="s">
        <v>274</v>
      </c>
      <c r="B266" s="2" t="s">
        <v>10</v>
      </c>
      <c r="C266" s="3" t="n">
        <v>18100</v>
      </c>
      <c r="D266" s="2" t="n">
        <v>4</v>
      </c>
      <c r="E266" s="2" t="n">
        <v>4</v>
      </c>
    </row>
    <row r="267" customFormat="false" ht="15" hidden="false" customHeight="false" outlineLevel="0" collapsed="false">
      <c r="A267" s="2" t="s">
        <v>275</v>
      </c>
      <c r="B267" s="2" t="s">
        <v>15</v>
      </c>
      <c r="C267" s="3" t="n">
        <v>8400</v>
      </c>
      <c r="D267" s="2" t="n">
        <v>5</v>
      </c>
      <c r="E267" s="2" t="n">
        <v>5</v>
      </c>
    </row>
    <row r="268" customFormat="false" ht="15" hidden="false" customHeight="false" outlineLevel="0" collapsed="false">
      <c r="A268" s="2" t="s">
        <v>276</v>
      </c>
      <c r="B268" s="2" t="s">
        <v>15</v>
      </c>
      <c r="C268" s="3" t="n">
        <v>6100</v>
      </c>
      <c r="D268" s="2" t="n">
        <v>20</v>
      </c>
      <c r="E268" s="2" t="n">
        <v>20</v>
      </c>
    </row>
    <row r="269" customFormat="false" ht="15" hidden="false" customHeight="false" outlineLevel="0" collapsed="false">
      <c r="A269" s="2" t="s">
        <v>277</v>
      </c>
      <c r="B269" s="2" t="s">
        <v>12</v>
      </c>
      <c r="C269" s="3" t="n">
        <v>9600</v>
      </c>
      <c r="D269" s="2" t="n">
        <v>41</v>
      </c>
      <c r="E269" s="2" t="n">
        <v>41</v>
      </c>
    </row>
    <row r="270" customFormat="false" ht="15" hidden="false" customHeight="false" outlineLevel="0" collapsed="false">
      <c r="A270" s="2" t="s">
        <v>278</v>
      </c>
      <c r="B270" s="2" t="s">
        <v>10</v>
      </c>
      <c r="C270" s="3" t="n">
        <v>6100</v>
      </c>
      <c r="D270" s="2" t="n">
        <v>24</v>
      </c>
      <c r="E270" s="2" t="n">
        <v>24</v>
      </c>
    </row>
    <row r="271" customFormat="false" ht="15" hidden="false" customHeight="false" outlineLevel="0" collapsed="false">
      <c r="A271" s="2" t="s">
        <v>279</v>
      </c>
      <c r="B271" s="2" t="s">
        <v>6</v>
      </c>
      <c r="C271" s="3" t="n">
        <v>11500</v>
      </c>
      <c r="D271" s="2" t="n">
        <v>38</v>
      </c>
      <c r="E271" s="2" t="n">
        <v>38</v>
      </c>
    </row>
    <row r="272" customFormat="false" ht="15" hidden="false" customHeight="false" outlineLevel="0" collapsed="false">
      <c r="A272" s="2" t="s">
        <v>280</v>
      </c>
      <c r="B272" s="2" t="s">
        <v>12</v>
      </c>
      <c r="C272" s="3" t="n">
        <v>8000</v>
      </c>
      <c r="D272" s="2" t="n">
        <v>11</v>
      </c>
      <c r="E272" s="2" t="n">
        <v>11</v>
      </c>
    </row>
    <row r="273" customFormat="false" ht="15" hidden="false" customHeight="false" outlineLevel="0" collapsed="false">
      <c r="A273" s="2" t="s">
        <v>281</v>
      </c>
      <c r="B273" s="2" t="s">
        <v>12</v>
      </c>
      <c r="C273" s="3" t="n">
        <v>17400</v>
      </c>
      <c r="D273" s="2" t="n">
        <v>36</v>
      </c>
      <c r="E273" s="2" t="n">
        <v>36</v>
      </c>
    </row>
    <row r="274" customFormat="false" ht="15" hidden="false" customHeight="false" outlineLevel="0" collapsed="false">
      <c r="A274" s="2" t="s">
        <v>282</v>
      </c>
      <c r="B274" s="2" t="s">
        <v>10</v>
      </c>
      <c r="C274" s="3" t="n">
        <v>10700</v>
      </c>
      <c r="D274" s="2" t="n">
        <v>14</v>
      </c>
      <c r="E274" s="2" t="n">
        <v>14</v>
      </c>
    </row>
    <row r="275" customFormat="false" ht="15" hidden="false" customHeight="false" outlineLevel="0" collapsed="false">
      <c r="A275" s="2" t="s">
        <v>283</v>
      </c>
      <c r="B275" s="2" t="s">
        <v>8</v>
      </c>
      <c r="C275" s="3" t="n">
        <v>5400</v>
      </c>
      <c r="D275" s="2" t="n">
        <v>37</v>
      </c>
      <c r="E275" s="2" t="n">
        <v>37</v>
      </c>
    </row>
    <row r="276" customFormat="false" ht="15" hidden="false" customHeight="false" outlineLevel="0" collapsed="false">
      <c r="A276" s="2" t="s">
        <v>284</v>
      </c>
      <c r="B276" s="2" t="s">
        <v>10</v>
      </c>
      <c r="C276" s="3" t="n">
        <v>11300</v>
      </c>
      <c r="D276" s="2" t="n">
        <v>4</v>
      </c>
      <c r="E276" s="2" t="n">
        <v>4</v>
      </c>
    </row>
    <row r="277" customFormat="false" ht="15" hidden="false" customHeight="false" outlineLevel="0" collapsed="false">
      <c r="A277" s="2" t="s">
        <v>285</v>
      </c>
      <c r="B277" s="2" t="s">
        <v>8</v>
      </c>
      <c r="C277" s="3" t="n">
        <v>13600</v>
      </c>
      <c r="D277" s="2" t="n">
        <v>32</v>
      </c>
      <c r="E277" s="2" t="n">
        <v>32</v>
      </c>
    </row>
    <row r="278" customFormat="false" ht="15" hidden="false" customHeight="false" outlineLevel="0" collapsed="false">
      <c r="A278" s="2" t="s">
        <v>286</v>
      </c>
      <c r="B278" s="2" t="s">
        <v>10</v>
      </c>
      <c r="C278" s="3" t="n">
        <v>5900</v>
      </c>
      <c r="D278" s="2" t="n">
        <v>9</v>
      </c>
      <c r="E278" s="2" t="n">
        <v>9</v>
      </c>
    </row>
    <row r="279" customFormat="false" ht="15" hidden="false" customHeight="false" outlineLevel="0" collapsed="false">
      <c r="A279" s="2" t="s">
        <v>287</v>
      </c>
      <c r="B279" s="2" t="s">
        <v>6</v>
      </c>
      <c r="C279" s="3" t="n">
        <v>6400</v>
      </c>
      <c r="D279" s="2" t="n">
        <v>23</v>
      </c>
      <c r="E279" s="2" t="n">
        <v>23</v>
      </c>
    </row>
    <row r="280" customFormat="false" ht="15" hidden="false" customHeight="false" outlineLevel="0" collapsed="false">
      <c r="A280" s="2" t="s">
        <v>288</v>
      </c>
      <c r="B280" s="2" t="s">
        <v>12</v>
      </c>
      <c r="C280" s="3" t="n">
        <v>2300</v>
      </c>
      <c r="D280" s="2" t="n">
        <v>16</v>
      </c>
      <c r="E280" s="2" t="n">
        <v>36</v>
      </c>
    </row>
    <row r="281" customFormat="false" ht="15" hidden="false" customHeight="false" outlineLevel="0" collapsed="false">
      <c r="A281" s="2" t="s">
        <v>289</v>
      </c>
      <c r="B281" s="2" t="s">
        <v>10</v>
      </c>
      <c r="C281" s="3" t="n">
        <v>13300</v>
      </c>
      <c r="D281" s="2" t="n">
        <v>14</v>
      </c>
      <c r="E281" s="2" t="n">
        <v>14</v>
      </c>
    </row>
    <row r="282" customFormat="false" ht="15" hidden="false" customHeight="false" outlineLevel="0" collapsed="false">
      <c r="A282" s="2" t="s">
        <v>290</v>
      </c>
      <c r="B282" s="2" t="s">
        <v>10</v>
      </c>
      <c r="C282" s="3" t="n">
        <v>5900</v>
      </c>
      <c r="D282" s="2" t="n">
        <v>34</v>
      </c>
      <c r="E282" s="2" t="n">
        <v>34</v>
      </c>
    </row>
    <row r="283" customFormat="false" ht="15" hidden="false" customHeight="false" outlineLevel="0" collapsed="false">
      <c r="A283" s="2" t="s">
        <v>291</v>
      </c>
      <c r="B283" s="2" t="s">
        <v>10</v>
      </c>
      <c r="C283" s="3" t="n">
        <v>2500</v>
      </c>
      <c r="D283" s="2" t="n">
        <v>19</v>
      </c>
      <c r="E283" s="2" t="n">
        <v>44</v>
      </c>
    </row>
    <row r="284" customFormat="false" ht="15" hidden="false" customHeight="false" outlineLevel="0" collapsed="false">
      <c r="A284" s="2" t="s">
        <v>292</v>
      </c>
      <c r="B284" s="2" t="s">
        <v>12</v>
      </c>
      <c r="C284" s="3" t="n">
        <v>3100</v>
      </c>
      <c r="D284" s="2" t="n">
        <v>26</v>
      </c>
      <c r="E284" s="2" t="n">
        <v>26</v>
      </c>
    </row>
    <row r="285" customFormat="false" ht="15" hidden="false" customHeight="false" outlineLevel="0" collapsed="false">
      <c r="A285" s="2" t="s">
        <v>293</v>
      </c>
      <c r="B285" s="2" t="s">
        <v>8</v>
      </c>
      <c r="C285" s="3" t="n">
        <v>7200</v>
      </c>
      <c r="D285" s="2" t="n">
        <v>7</v>
      </c>
      <c r="E285" s="2" t="n">
        <v>7</v>
      </c>
    </row>
    <row r="286" customFormat="false" ht="15" hidden="false" customHeight="false" outlineLevel="0" collapsed="false">
      <c r="A286" s="2" t="s">
        <v>294</v>
      </c>
      <c r="B286" s="2" t="s">
        <v>8</v>
      </c>
      <c r="C286" s="3" t="n">
        <v>12300</v>
      </c>
      <c r="D286" s="2" t="n">
        <v>27</v>
      </c>
      <c r="E286" s="2" t="n">
        <v>27</v>
      </c>
    </row>
    <row r="287" customFormat="false" ht="15" hidden="false" customHeight="false" outlineLevel="0" collapsed="false">
      <c r="A287" s="2" t="s">
        <v>295</v>
      </c>
      <c r="B287" s="2" t="s">
        <v>8</v>
      </c>
      <c r="C287" s="3" t="n">
        <v>7700</v>
      </c>
      <c r="D287" s="2" t="n">
        <v>17</v>
      </c>
      <c r="E287" s="2" t="n">
        <v>17</v>
      </c>
    </row>
    <row r="288" customFormat="false" ht="15" hidden="false" customHeight="false" outlineLevel="0" collapsed="false">
      <c r="A288" s="2" t="s">
        <v>296</v>
      </c>
      <c r="B288" s="2" t="s">
        <v>12</v>
      </c>
      <c r="C288" s="3" t="n">
        <v>10500</v>
      </c>
      <c r="D288" s="2" t="n">
        <v>11</v>
      </c>
      <c r="E288" s="2" t="n">
        <v>11</v>
      </c>
    </row>
    <row r="289" customFormat="false" ht="15" hidden="false" customHeight="false" outlineLevel="0" collapsed="false">
      <c r="A289" s="2" t="s">
        <v>297</v>
      </c>
      <c r="B289" s="2" t="s">
        <v>8</v>
      </c>
      <c r="C289" s="3" t="n">
        <v>4400</v>
      </c>
      <c r="D289" s="2" t="n">
        <v>17</v>
      </c>
      <c r="E289" s="2" t="n">
        <v>17</v>
      </c>
    </row>
    <row r="290" customFormat="false" ht="15" hidden="false" customHeight="false" outlineLevel="0" collapsed="false">
      <c r="A290" s="2" t="s">
        <v>298</v>
      </c>
      <c r="B290" s="2" t="s">
        <v>15</v>
      </c>
      <c r="C290" s="3" t="n">
        <v>3900</v>
      </c>
      <c r="D290" s="2" t="n">
        <v>40</v>
      </c>
      <c r="E290" s="2" t="n">
        <v>40</v>
      </c>
    </row>
    <row r="291" customFormat="false" ht="15" hidden="false" customHeight="false" outlineLevel="0" collapsed="false">
      <c r="A291" s="2" t="s">
        <v>299</v>
      </c>
      <c r="B291" s="2" t="s">
        <v>10</v>
      </c>
      <c r="C291" s="3" t="n">
        <v>13200</v>
      </c>
      <c r="D291" s="2" t="n">
        <v>4</v>
      </c>
      <c r="E291" s="2" t="n">
        <v>4</v>
      </c>
    </row>
    <row r="292" customFormat="false" ht="15" hidden="false" customHeight="false" outlineLevel="0" collapsed="false">
      <c r="A292" s="2" t="s">
        <v>300</v>
      </c>
      <c r="B292" s="2" t="s">
        <v>8</v>
      </c>
      <c r="C292" s="3" t="n">
        <v>10600</v>
      </c>
      <c r="D292" s="2" t="n">
        <v>7</v>
      </c>
      <c r="E292" s="2" t="n">
        <v>7</v>
      </c>
    </row>
    <row r="293" customFormat="false" ht="15" hidden="false" customHeight="false" outlineLevel="0" collapsed="false">
      <c r="A293" s="2" t="s">
        <v>301</v>
      </c>
      <c r="B293" s="2" t="s">
        <v>15</v>
      </c>
      <c r="C293" s="3" t="n">
        <v>8000</v>
      </c>
      <c r="D293" s="2" t="n">
        <v>5</v>
      </c>
      <c r="E293" s="2" t="n">
        <v>45</v>
      </c>
    </row>
    <row r="294" customFormat="false" ht="15" hidden="false" customHeight="false" outlineLevel="0" collapsed="false">
      <c r="A294" s="2" t="s">
        <v>302</v>
      </c>
      <c r="B294" s="2" t="s">
        <v>15</v>
      </c>
      <c r="C294" s="3" t="n">
        <v>16400</v>
      </c>
      <c r="D294" s="2" t="n">
        <v>30</v>
      </c>
      <c r="E294" s="2" t="n">
        <v>30</v>
      </c>
    </row>
    <row r="295" customFormat="false" ht="15" hidden="false" customHeight="false" outlineLevel="0" collapsed="false">
      <c r="A295" s="2" t="s">
        <v>303</v>
      </c>
      <c r="B295" s="2" t="s">
        <v>10</v>
      </c>
      <c r="C295" s="3" t="n">
        <v>4800</v>
      </c>
      <c r="D295" s="2" t="n">
        <v>14</v>
      </c>
      <c r="E295" s="2" t="n">
        <v>14</v>
      </c>
    </row>
    <row r="296" customFormat="false" ht="15" hidden="false" customHeight="false" outlineLevel="0" collapsed="false">
      <c r="A296" s="2" t="s">
        <v>304</v>
      </c>
      <c r="B296" s="2" t="s">
        <v>6</v>
      </c>
      <c r="C296" s="3" t="n">
        <v>6400</v>
      </c>
      <c r="D296" s="2" t="n">
        <v>13</v>
      </c>
      <c r="E296" s="2" t="n">
        <v>13</v>
      </c>
    </row>
    <row r="297" customFormat="false" ht="15" hidden="false" customHeight="false" outlineLevel="0" collapsed="false">
      <c r="A297" s="2" t="s">
        <v>305</v>
      </c>
      <c r="B297" s="2" t="s">
        <v>8</v>
      </c>
      <c r="C297" s="3" t="n">
        <v>14200</v>
      </c>
      <c r="D297" s="2" t="n">
        <v>47</v>
      </c>
      <c r="E297" s="2" t="n">
        <v>47</v>
      </c>
    </row>
    <row r="298" customFormat="false" ht="15" hidden="false" customHeight="false" outlineLevel="0" collapsed="false">
      <c r="A298" s="2" t="s">
        <v>306</v>
      </c>
      <c r="B298" s="2" t="s">
        <v>15</v>
      </c>
      <c r="C298" s="3" t="n">
        <v>22300</v>
      </c>
      <c r="D298" s="2" t="n">
        <v>5</v>
      </c>
      <c r="E298" s="2" t="n">
        <v>5</v>
      </c>
    </row>
    <row r="299" customFormat="false" ht="15" hidden="false" customHeight="false" outlineLevel="0" collapsed="false">
      <c r="A299" s="2" t="s">
        <v>307</v>
      </c>
      <c r="B299" s="2" t="s">
        <v>15</v>
      </c>
      <c r="C299" s="3" t="n">
        <v>8100</v>
      </c>
      <c r="D299" s="2" t="n">
        <v>35</v>
      </c>
      <c r="E299" s="2" t="n">
        <v>35</v>
      </c>
    </row>
    <row r="300" customFormat="false" ht="15" hidden="false" customHeight="false" outlineLevel="0" collapsed="false">
      <c r="A300" s="2" t="s">
        <v>308</v>
      </c>
      <c r="B300" s="2" t="s">
        <v>8</v>
      </c>
      <c r="C300" s="3" t="n">
        <v>20400</v>
      </c>
      <c r="D300" s="2" t="n">
        <v>32</v>
      </c>
      <c r="E300" s="2" t="n">
        <v>32</v>
      </c>
    </row>
    <row r="301" customFormat="false" ht="15" hidden="false" customHeight="false" outlineLevel="0" collapsed="false">
      <c r="A301" s="2" t="s">
        <v>309</v>
      </c>
      <c r="B301" s="2" t="s">
        <v>12</v>
      </c>
      <c r="C301" s="3" t="n">
        <v>5800</v>
      </c>
      <c r="D301" s="2" t="n">
        <v>46</v>
      </c>
      <c r="E301" s="2" t="n">
        <v>46</v>
      </c>
    </row>
    <row r="302" customFormat="false" ht="15" hidden="false" customHeight="false" outlineLevel="0" collapsed="false">
      <c r="A302" s="2" t="s">
        <v>310</v>
      </c>
      <c r="B302" s="2" t="s">
        <v>12</v>
      </c>
      <c r="C302" s="3" t="n">
        <v>9700</v>
      </c>
      <c r="D302" s="2" t="n">
        <v>11</v>
      </c>
      <c r="E302" s="2" t="n">
        <v>11</v>
      </c>
    </row>
    <row r="303" customFormat="false" ht="15" hidden="false" customHeight="false" outlineLevel="0" collapsed="false">
      <c r="A303" s="2" t="s">
        <v>311</v>
      </c>
      <c r="B303" s="2" t="s">
        <v>12</v>
      </c>
      <c r="C303" s="3" t="n">
        <v>7400</v>
      </c>
      <c r="D303" s="2" t="n">
        <v>31</v>
      </c>
      <c r="E303" s="2" t="n">
        <v>31</v>
      </c>
    </row>
    <row r="304" customFormat="false" ht="15" hidden="false" customHeight="false" outlineLevel="0" collapsed="false">
      <c r="A304" s="2" t="s">
        <v>312</v>
      </c>
      <c r="B304" s="2" t="s">
        <v>15</v>
      </c>
      <c r="C304" s="3" t="n">
        <v>3400</v>
      </c>
      <c r="D304" s="2" t="n">
        <v>25</v>
      </c>
      <c r="E304" s="2" t="n">
        <v>25</v>
      </c>
    </row>
    <row r="305" customFormat="false" ht="15" hidden="false" customHeight="false" outlineLevel="0" collapsed="false">
      <c r="A305" s="2" t="s">
        <v>313</v>
      </c>
      <c r="B305" s="2" t="s">
        <v>8</v>
      </c>
      <c r="C305" s="3" t="n">
        <v>9300</v>
      </c>
      <c r="D305" s="2" t="n">
        <v>37</v>
      </c>
      <c r="E305" s="2" t="n">
        <v>37</v>
      </c>
    </row>
    <row r="306" customFormat="false" ht="15" hidden="false" customHeight="false" outlineLevel="0" collapsed="false">
      <c r="A306" s="2" t="s">
        <v>314</v>
      </c>
      <c r="B306" s="2" t="s">
        <v>10</v>
      </c>
      <c r="C306" s="3" t="n">
        <v>13500</v>
      </c>
      <c r="D306" s="2" t="n">
        <v>49</v>
      </c>
      <c r="E306" s="2" t="n">
        <v>49</v>
      </c>
    </row>
    <row r="307" customFormat="false" ht="15" hidden="false" customHeight="false" outlineLevel="0" collapsed="false">
      <c r="A307" s="2" t="s">
        <v>315</v>
      </c>
      <c r="B307" s="2" t="s">
        <v>8</v>
      </c>
      <c r="C307" s="3" t="n">
        <v>7500</v>
      </c>
      <c r="D307" s="2" t="n">
        <v>2</v>
      </c>
      <c r="E307" s="2" t="n">
        <v>2</v>
      </c>
    </row>
    <row r="308" customFormat="false" ht="15" hidden="false" customHeight="false" outlineLevel="0" collapsed="false">
      <c r="A308" s="2" t="s">
        <v>316</v>
      </c>
      <c r="B308" s="2" t="s">
        <v>8</v>
      </c>
      <c r="C308" s="3" t="n">
        <v>7800</v>
      </c>
      <c r="D308" s="2" t="n">
        <v>37</v>
      </c>
      <c r="E308" s="2" t="n">
        <v>37</v>
      </c>
    </row>
    <row r="309" customFormat="false" ht="15" hidden="false" customHeight="false" outlineLevel="0" collapsed="false">
      <c r="A309" s="2" t="s">
        <v>317</v>
      </c>
      <c r="B309" s="2" t="s">
        <v>12</v>
      </c>
      <c r="C309" s="3" t="n">
        <v>17400</v>
      </c>
      <c r="D309" s="2" t="n">
        <v>1</v>
      </c>
      <c r="E309" s="2" t="n">
        <v>1</v>
      </c>
    </row>
    <row r="310" customFormat="false" ht="15" hidden="false" customHeight="false" outlineLevel="0" collapsed="false">
      <c r="A310" s="2" t="s">
        <v>318</v>
      </c>
      <c r="B310" s="2" t="s">
        <v>6</v>
      </c>
      <c r="C310" s="3" t="n">
        <v>4100</v>
      </c>
      <c r="D310" s="2" t="n">
        <v>33</v>
      </c>
      <c r="E310" s="2" t="n">
        <v>33</v>
      </c>
    </row>
    <row r="311" customFormat="false" ht="15" hidden="false" customHeight="false" outlineLevel="0" collapsed="false">
      <c r="A311" s="2" t="s">
        <v>319</v>
      </c>
      <c r="B311" s="2" t="s">
        <v>8</v>
      </c>
      <c r="C311" s="3" t="n">
        <v>3600</v>
      </c>
      <c r="D311" s="2" t="n">
        <v>17</v>
      </c>
      <c r="E311" s="2" t="n">
        <v>22</v>
      </c>
    </row>
    <row r="312" customFormat="false" ht="15" hidden="false" customHeight="false" outlineLevel="0" collapsed="false">
      <c r="A312" s="2" t="s">
        <v>320</v>
      </c>
      <c r="B312" s="2" t="s">
        <v>6</v>
      </c>
      <c r="C312" s="3" t="n">
        <v>5700</v>
      </c>
      <c r="D312" s="2" t="n">
        <v>38</v>
      </c>
      <c r="E312" s="2" t="n">
        <v>38</v>
      </c>
    </row>
    <row r="313" customFormat="false" ht="15" hidden="false" customHeight="false" outlineLevel="0" collapsed="false">
      <c r="A313" s="2" t="s">
        <v>321</v>
      </c>
      <c r="B313" s="2" t="s">
        <v>15</v>
      </c>
      <c r="C313" s="3" t="n">
        <v>4200</v>
      </c>
      <c r="D313" s="2" t="n">
        <v>40</v>
      </c>
      <c r="E313" s="2" t="n">
        <v>40</v>
      </c>
    </row>
    <row r="314" customFormat="false" ht="15" hidden="false" customHeight="false" outlineLevel="0" collapsed="false">
      <c r="A314" s="2" t="s">
        <v>322</v>
      </c>
      <c r="B314" s="2" t="s">
        <v>8</v>
      </c>
      <c r="C314" s="3" t="n">
        <v>17000</v>
      </c>
      <c r="D314" s="2" t="n">
        <v>42</v>
      </c>
      <c r="E314" s="2" t="n">
        <v>42</v>
      </c>
    </row>
    <row r="315" customFormat="false" ht="15" hidden="false" customHeight="false" outlineLevel="0" collapsed="false">
      <c r="A315" s="2" t="s">
        <v>323</v>
      </c>
      <c r="B315" s="2" t="s">
        <v>15</v>
      </c>
      <c r="C315" s="3" t="n">
        <v>9600</v>
      </c>
      <c r="D315" s="2" t="n">
        <v>40</v>
      </c>
      <c r="E315" s="2" t="n">
        <v>40</v>
      </c>
    </row>
    <row r="316" customFormat="false" ht="15" hidden="false" customHeight="false" outlineLevel="0" collapsed="false">
      <c r="A316" s="2" t="s">
        <v>324</v>
      </c>
      <c r="B316" s="2" t="s">
        <v>6</v>
      </c>
      <c r="C316" s="3" t="n">
        <v>5000</v>
      </c>
      <c r="D316" s="2" t="n">
        <v>8</v>
      </c>
      <c r="E316" s="2" t="n">
        <v>23</v>
      </c>
    </row>
    <row r="317" customFormat="false" ht="15" hidden="false" customHeight="false" outlineLevel="0" collapsed="false">
      <c r="A317" s="2" t="s">
        <v>325</v>
      </c>
      <c r="B317" s="2" t="s">
        <v>6</v>
      </c>
      <c r="C317" s="3" t="n">
        <v>5800</v>
      </c>
      <c r="D317" s="2" t="n">
        <v>18</v>
      </c>
      <c r="E317" s="2" t="n">
        <v>18</v>
      </c>
    </row>
    <row r="318" customFormat="false" ht="15" hidden="false" customHeight="false" outlineLevel="0" collapsed="false">
      <c r="A318" s="2" t="s">
        <v>326</v>
      </c>
      <c r="B318" s="2" t="s">
        <v>15</v>
      </c>
      <c r="C318" s="3" t="n">
        <v>39100</v>
      </c>
      <c r="D318" s="2" t="n">
        <v>5</v>
      </c>
      <c r="E318" s="2" t="n">
        <v>5</v>
      </c>
    </row>
    <row r="319" customFormat="false" ht="15" hidden="false" customHeight="false" outlineLevel="0" collapsed="false">
      <c r="A319" s="2" t="s">
        <v>327</v>
      </c>
      <c r="B319" s="2" t="s">
        <v>10</v>
      </c>
      <c r="C319" s="3" t="n">
        <v>5800</v>
      </c>
      <c r="D319" s="2" t="n">
        <v>49</v>
      </c>
      <c r="E319" s="2" t="n">
        <v>49</v>
      </c>
    </row>
    <row r="320" customFormat="false" ht="15" hidden="false" customHeight="false" outlineLevel="0" collapsed="false">
      <c r="A320" s="2" t="s">
        <v>328</v>
      </c>
      <c r="B320" s="2" t="s">
        <v>8</v>
      </c>
      <c r="C320" s="3" t="n">
        <v>5300</v>
      </c>
      <c r="D320" s="2" t="n">
        <v>12</v>
      </c>
      <c r="E320" s="2" t="n">
        <v>12</v>
      </c>
    </row>
    <row r="321" customFormat="false" ht="15" hidden="false" customHeight="false" outlineLevel="0" collapsed="false">
      <c r="A321" s="2" t="s">
        <v>329</v>
      </c>
      <c r="B321" s="2" t="s">
        <v>12</v>
      </c>
      <c r="C321" s="3" t="n">
        <v>9600</v>
      </c>
      <c r="D321" s="2" t="n">
        <v>31</v>
      </c>
      <c r="E321" s="2" t="n">
        <v>31</v>
      </c>
    </row>
    <row r="322" customFormat="false" ht="15" hidden="false" customHeight="false" outlineLevel="0" collapsed="false">
      <c r="A322" s="2" t="s">
        <v>330</v>
      </c>
      <c r="B322" s="2" t="s">
        <v>6</v>
      </c>
      <c r="C322" s="3" t="n">
        <v>11500</v>
      </c>
      <c r="D322" s="2" t="n">
        <v>8</v>
      </c>
      <c r="E322" s="2" t="n">
        <v>8</v>
      </c>
    </row>
    <row r="323" customFormat="false" ht="15" hidden="false" customHeight="false" outlineLevel="0" collapsed="false">
      <c r="A323" s="2" t="s">
        <v>331</v>
      </c>
      <c r="B323" s="2" t="s">
        <v>10</v>
      </c>
      <c r="C323" s="3" t="n">
        <v>9200</v>
      </c>
      <c r="D323" s="2" t="n">
        <v>9</v>
      </c>
      <c r="E323" s="2" t="n">
        <v>9</v>
      </c>
    </row>
    <row r="324" customFormat="false" ht="15" hidden="false" customHeight="false" outlineLevel="0" collapsed="false">
      <c r="A324" s="2" t="s">
        <v>332</v>
      </c>
      <c r="B324" s="2" t="s">
        <v>15</v>
      </c>
      <c r="C324" s="3" t="n">
        <v>4900</v>
      </c>
      <c r="D324" s="2" t="n">
        <v>45</v>
      </c>
      <c r="E324" s="2" t="n">
        <v>45</v>
      </c>
    </row>
    <row r="325" customFormat="false" ht="15" hidden="false" customHeight="false" outlineLevel="0" collapsed="false">
      <c r="A325" s="2" t="s">
        <v>333</v>
      </c>
      <c r="B325" s="2" t="s">
        <v>15</v>
      </c>
      <c r="C325" s="3" t="n">
        <v>4300</v>
      </c>
      <c r="D325" s="2" t="n">
        <v>20</v>
      </c>
      <c r="E325" s="2" t="n">
        <v>20</v>
      </c>
    </row>
    <row r="326" customFormat="false" ht="15" hidden="false" customHeight="false" outlineLevel="0" collapsed="false">
      <c r="A326" s="2" t="s">
        <v>334</v>
      </c>
      <c r="B326" s="2" t="s">
        <v>10</v>
      </c>
      <c r="C326" s="3" t="n">
        <v>11200</v>
      </c>
      <c r="D326" s="2" t="n">
        <v>39</v>
      </c>
      <c r="E326" s="2" t="n">
        <v>39</v>
      </c>
    </row>
    <row r="327" customFormat="false" ht="15" hidden="false" customHeight="false" outlineLevel="0" collapsed="false">
      <c r="A327" s="2" t="s">
        <v>335</v>
      </c>
      <c r="B327" s="2" t="s">
        <v>15</v>
      </c>
      <c r="C327" s="3" t="n">
        <v>7900</v>
      </c>
      <c r="D327" s="2" t="n">
        <v>25</v>
      </c>
      <c r="E327" s="2" t="n">
        <v>25</v>
      </c>
    </row>
    <row r="328" customFormat="false" ht="15" hidden="false" customHeight="false" outlineLevel="0" collapsed="false">
      <c r="A328" s="2" t="s">
        <v>336</v>
      </c>
      <c r="B328" s="2" t="s">
        <v>8</v>
      </c>
      <c r="C328" s="3" t="n">
        <v>3300</v>
      </c>
      <c r="D328" s="2" t="n">
        <v>17</v>
      </c>
      <c r="E328" s="2" t="n">
        <v>47</v>
      </c>
    </row>
    <row r="329" customFormat="false" ht="15" hidden="false" customHeight="false" outlineLevel="0" collapsed="false">
      <c r="A329" s="2" t="s">
        <v>337</v>
      </c>
      <c r="B329" s="2" t="s">
        <v>15</v>
      </c>
      <c r="C329" s="3" t="n">
        <v>15400</v>
      </c>
      <c r="D329" s="2" t="n">
        <v>20</v>
      </c>
      <c r="E329" s="2" t="n">
        <v>20</v>
      </c>
    </row>
    <row r="330" customFormat="false" ht="15" hidden="false" customHeight="false" outlineLevel="0" collapsed="false">
      <c r="A330" s="2" t="s">
        <v>338</v>
      </c>
      <c r="B330" s="2" t="s">
        <v>8</v>
      </c>
      <c r="C330" s="3" t="n">
        <v>12400</v>
      </c>
      <c r="D330" s="2" t="n">
        <v>7</v>
      </c>
      <c r="E330" s="2" t="n">
        <v>7</v>
      </c>
    </row>
    <row r="331" customFormat="false" ht="15" hidden="false" customHeight="false" outlineLevel="0" collapsed="false">
      <c r="A331" s="2" t="s">
        <v>339</v>
      </c>
      <c r="B331" s="2" t="s">
        <v>15</v>
      </c>
      <c r="C331" s="3" t="n">
        <v>7100</v>
      </c>
      <c r="D331" s="2" t="n">
        <v>20</v>
      </c>
      <c r="E331" s="2" t="n">
        <v>20</v>
      </c>
    </row>
    <row r="332" customFormat="false" ht="15" hidden="false" customHeight="false" outlineLevel="0" collapsed="false">
      <c r="A332" s="2" t="s">
        <v>340</v>
      </c>
      <c r="B332" s="2" t="s">
        <v>15</v>
      </c>
      <c r="C332" s="3" t="n">
        <v>7000</v>
      </c>
      <c r="D332" s="2" t="n">
        <v>30</v>
      </c>
      <c r="E332" s="2" t="n">
        <v>30</v>
      </c>
    </row>
    <row r="333" customFormat="false" ht="15" hidden="false" customHeight="false" outlineLevel="0" collapsed="false">
      <c r="A333" s="2" t="s">
        <v>341</v>
      </c>
      <c r="B333" s="2" t="s">
        <v>12</v>
      </c>
      <c r="C333" s="3" t="n">
        <v>9200</v>
      </c>
      <c r="D333" s="2" t="n">
        <v>16</v>
      </c>
      <c r="E333" s="2" t="n">
        <v>16</v>
      </c>
    </row>
    <row r="334" customFormat="false" ht="15" hidden="false" customHeight="false" outlineLevel="0" collapsed="false">
      <c r="A334" s="2" t="s">
        <v>342</v>
      </c>
      <c r="B334" s="2" t="s">
        <v>10</v>
      </c>
      <c r="C334" s="3" t="n">
        <v>5600</v>
      </c>
      <c r="D334" s="2" t="n">
        <v>24</v>
      </c>
      <c r="E334" s="2" t="n">
        <v>24</v>
      </c>
    </row>
    <row r="335" customFormat="false" ht="15" hidden="false" customHeight="false" outlineLevel="0" collapsed="false">
      <c r="A335" s="2" t="s">
        <v>343</v>
      </c>
      <c r="B335" s="2" t="s">
        <v>8</v>
      </c>
      <c r="C335" s="3" t="n">
        <v>3900</v>
      </c>
      <c r="D335" s="2" t="n">
        <v>7</v>
      </c>
      <c r="E335" s="2" t="n">
        <v>7</v>
      </c>
    </row>
    <row r="336" customFormat="false" ht="15" hidden="false" customHeight="false" outlineLevel="0" collapsed="false">
      <c r="A336" s="2" t="s">
        <v>344</v>
      </c>
      <c r="B336" s="2" t="s">
        <v>15</v>
      </c>
      <c r="C336" s="3" t="n">
        <v>9700</v>
      </c>
      <c r="D336" s="2" t="n">
        <v>20</v>
      </c>
      <c r="E336" s="2" t="n">
        <v>20</v>
      </c>
    </row>
    <row r="337" customFormat="false" ht="15" hidden="false" customHeight="false" outlineLevel="0" collapsed="false">
      <c r="A337" s="2" t="s">
        <v>345</v>
      </c>
      <c r="B337" s="2" t="s">
        <v>12</v>
      </c>
      <c r="C337" s="3" t="n">
        <v>3700</v>
      </c>
      <c r="D337" s="2" t="n">
        <v>1</v>
      </c>
      <c r="E337" s="2" t="n">
        <v>31</v>
      </c>
    </row>
    <row r="338" customFormat="false" ht="15" hidden="false" customHeight="false" outlineLevel="0" collapsed="false">
      <c r="A338" s="2" t="s">
        <v>346</v>
      </c>
      <c r="B338" s="2" t="s">
        <v>8</v>
      </c>
      <c r="C338" s="3" t="n">
        <v>10000</v>
      </c>
      <c r="D338" s="2" t="n">
        <v>2</v>
      </c>
      <c r="E338" s="2" t="n">
        <v>2</v>
      </c>
    </row>
    <row r="339" customFormat="false" ht="15" hidden="false" customHeight="false" outlineLevel="0" collapsed="false">
      <c r="A339" s="2" t="s">
        <v>347</v>
      </c>
      <c r="B339" s="2" t="s">
        <v>8</v>
      </c>
      <c r="C339" s="3" t="n">
        <v>3700</v>
      </c>
      <c r="D339" s="2" t="n">
        <v>27</v>
      </c>
      <c r="E339" s="2" t="n">
        <v>27</v>
      </c>
    </row>
    <row r="340" customFormat="false" ht="15" hidden="false" customHeight="false" outlineLevel="0" collapsed="false">
      <c r="A340" s="2" t="s">
        <v>348</v>
      </c>
      <c r="B340" s="2" t="s">
        <v>8</v>
      </c>
      <c r="C340" s="3" t="n">
        <v>7700</v>
      </c>
      <c r="D340" s="2" t="n">
        <v>7</v>
      </c>
      <c r="E340" s="2" t="n">
        <v>7</v>
      </c>
    </row>
    <row r="341" customFormat="false" ht="15" hidden="false" customHeight="false" outlineLevel="0" collapsed="false">
      <c r="A341" s="2" t="s">
        <v>349</v>
      </c>
      <c r="B341" s="2" t="s">
        <v>10</v>
      </c>
      <c r="C341" s="3" t="n">
        <v>7500</v>
      </c>
      <c r="D341" s="2" t="n">
        <v>19</v>
      </c>
      <c r="E341" s="2" t="n">
        <v>19</v>
      </c>
    </row>
    <row r="342" customFormat="false" ht="15" hidden="false" customHeight="false" outlineLevel="0" collapsed="false">
      <c r="A342" s="2" t="s">
        <v>350</v>
      </c>
      <c r="B342" s="2" t="s">
        <v>15</v>
      </c>
      <c r="C342" s="3" t="n">
        <v>21600</v>
      </c>
      <c r="D342" s="2" t="n">
        <v>50</v>
      </c>
      <c r="E342" s="2" t="n">
        <v>50</v>
      </c>
    </row>
    <row r="343" customFormat="false" ht="15" hidden="false" customHeight="false" outlineLevel="0" collapsed="false">
      <c r="A343" s="2" t="s">
        <v>351</v>
      </c>
      <c r="B343" s="2" t="s">
        <v>12</v>
      </c>
      <c r="C343" s="3" t="n">
        <v>4500</v>
      </c>
      <c r="D343" s="2" t="n">
        <v>46</v>
      </c>
      <c r="E343" s="2" t="n">
        <v>46</v>
      </c>
    </row>
    <row r="344" customFormat="false" ht="15" hidden="false" customHeight="false" outlineLevel="0" collapsed="false">
      <c r="A344" s="2" t="s">
        <v>352</v>
      </c>
      <c r="B344" s="2" t="s">
        <v>15</v>
      </c>
      <c r="C344" s="3" t="n">
        <v>3700</v>
      </c>
      <c r="D344" s="2" t="n">
        <v>10</v>
      </c>
      <c r="E344" s="2" t="n">
        <v>10</v>
      </c>
    </row>
    <row r="345" customFormat="false" ht="15" hidden="false" customHeight="false" outlineLevel="0" collapsed="false">
      <c r="A345" s="2" t="s">
        <v>353</v>
      </c>
      <c r="B345" s="2" t="s">
        <v>12</v>
      </c>
      <c r="C345" s="3" t="n">
        <v>5700</v>
      </c>
      <c r="D345" s="2" t="n">
        <v>6</v>
      </c>
      <c r="E345" s="2" t="n">
        <v>6</v>
      </c>
    </row>
    <row r="346" customFormat="false" ht="15" hidden="false" customHeight="false" outlineLevel="0" collapsed="false">
      <c r="A346" s="2" t="s">
        <v>354</v>
      </c>
      <c r="B346" s="2" t="s">
        <v>6</v>
      </c>
      <c r="C346" s="3" t="n">
        <v>4400</v>
      </c>
      <c r="D346" s="2" t="n">
        <v>18</v>
      </c>
      <c r="E346" s="2" t="n">
        <v>18</v>
      </c>
    </row>
    <row r="347" customFormat="false" ht="15" hidden="false" customHeight="false" outlineLevel="0" collapsed="false">
      <c r="A347" s="2" t="s">
        <v>355</v>
      </c>
      <c r="B347" s="2" t="s">
        <v>15</v>
      </c>
      <c r="C347" s="3" t="n">
        <v>5900</v>
      </c>
      <c r="D347" s="2" t="n">
        <v>45</v>
      </c>
      <c r="E347" s="2" t="n">
        <v>45</v>
      </c>
    </row>
    <row r="348" customFormat="false" ht="15" hidden="false" customHeight="false" outlineLevel="0" collapsed="false">
      <c r="A348" s="2" t="s">
        <v>356</v>
      </c>
      <c r="B348" s="2" t="s">
        <v>15</v>
      </c>
      <c r="C348" s="3" t="n">
        <v>10200</v>
      </c>
      <c r="D348" s="2" t="n">
        <v>10</v>
      </c>
      <c r="E348" s="2" t="n">
        <v>10</v>
      </c>
    </row>
    <row r="349" customFormat="false" ht="15" hidden="false" customHeight="false" outlineLevel="0" collapsed="false">
      <c r="A349" s="2" t="s">
        <v>357</v>
      </c>
      <c r="B349" s="2" t="s">
        <v>15</v>
      </c>
      <c r="C349" s="3" t="n">
        <v>12400</v>
      </c>
      <c r="D349" s="2" t="n">
        <v>25</v>
      </c>
      <c r="E349" s="2" t="n">
        <v>25</v>
      </c>
    </row>
    <row r="350" customFormat="false" ht="15" hidden="false" customHeight="false" outlineLevel="0" collapsed="false">
      <c r="A350" s="2" t="s">
        <v>358</v>
      </c>
      <c r="B350" s="2" t="s">
        <v>10</v>
      </c>
      <c r="C350" s="3" t="n">
        <v>20200</v>
      </c>
      <c r="D350" s="2" t="n">
        <v>39</v>
      </c>
      <c r="E350" s="2" t="n">
        <v>39</v>
      </c>
    </row>
    <row r="351" customFormat="false" ht="15" hidden="false" customHeight="false" outlineLevel="0" collapsed="false">
      <c r="A351" s="2" t="s">
        <v>359</v>
      </c>
      <c r="B351" s="2" t="s">
        <v>12</v>
      </c>
      <c r="C351" s="3" t="n">
        <v>5400</v>
      </c>
      <c r="D351" s="2" t="n">
        <v>36</v>
      </c>
      <c r="E351" s="2" t="n">
        <v>36</v>
      </c>
    </row>
    <row r="352" customFormat="false" ht="15" hidden="false" customHeight="false" outlineLevel="0" collapsed="false">
      <c r="A352" s="2" t="s">
        <v>360</v>
      </c>
      <c r="B352" s="2" t="s">
        <v>15</v>
      </c>
      <c r="C352" s="3" t="n">
        <v>34600</v>
      </c>
      <c r="D352" s="2" t="n">
        <v>40</v>
      </c>
      <c r="E352" s="2" t="n">
        <v>40</v>
      </c>
    </row>
    <row r="353" customFormat="false" ht="15" hidden="false" customHeight="false" outlineLevel="0" collapsed="false">
      <c r="A353" s="2" t="s">
        <v>361</v>
      </c>
      <c r="B353" s="2" t="s">
        <v>12</v>
      </c>
      <c r="C353" s="3" t="n">
        <v>24100</v>
      </c>
      <c r="D353" s="2" t="n">
        <v>11</v>
      </c>
      <c r="E353" s="2" t="n">
        <v>11</v>
      </c>
    </row>
    <row r="354" customFormat="false" ht="15" hidden="false" customHeight="false" outlineLevel="0" collapsed="false">
      <c r="A354" s="2" t="s">
        <v>362</v>
      </c>
      <c r="B354" s="2" t="s">
        <v>8</v>
      </c>
      <c r="C354" s="3" t="n">
        <v>7200</v>
      </c>
      <c r="D354" s="2" t="n">
        <v>12</v>
      </c>
      <c r="E354" s="2" t="n">
        <v>12</v>
      </c>
    </row>
    <row r="355" customFormat="false" ht="15" hidden="false" customHeight="false" outlineLevel="0" collapsed="false">
      <c r="A355" s="2" t="s">
        <v>363</v>
      </c>
      <c r="B355" s="2" t="s">
        <v>8</v>
      </c>
      <c r="C355" s="3" t="n">
        <v>2300</v>
      </c>
      <c r="D355" s="2" t="n">
        <v>12</v>
      </c>
      <c r="E355" s="2" t="n">
        <v>47</v>
      </c>
    </row>
    <row r="356" customFormat="false" ht="15" hidden="false" customHeight="false" outlineLevel="0" collapsed="false">
      <c r="A356" s="2" t="s">
        <v>364</v>
      </c>
      <c r="B356" s="2" t="s">
        <v>6</v>
      </c>
      <c r="C356" s="3" t="n">
        <v>7700</v>
      </c>
      <c r="D356" s="2" t="n">
        <v>8</v>
      </c>
      <c r="E356" s="2" t="n">
        <v>8</v>
      </c>
    </row>
    <row r="357" customFormat="false" ht="15" hidden="false" customHeight="false" outlineLevel="0" collapsed="false">
      <c r="A357" s="2" t="s">
        <v>365</v>
      </c>
      <c r="B357" s="2" t="s">
        <v>12</v>
      </c>
      <c r="C357" s="3" t="n">
        <v>8400</v>
      </c>
      <c r="D357" s="2" t="n">
        <v>11</v>
      </c>
      <c r="E357" s="2" t="n">
        <v>11</v>
      </c>
    </row>
    <row r="358" customFormat="false" ht="15" hidden="false" customHeight="false" outlineLevel="0" collapsed="false">
      <c r="A358" s="2" t="s">
        <v>366</v>
      </c>
      <c r="B358" s="2" t="s">
        <v>12</v>
      </c>
      <c r="C358" s="3" t="n">
        <v>2300</v>
      </c>
      <c r="D358" s="2" t="n">
        <v>16</v>
      </c>
      <c r="E358" s="2" t="n">
        <v>21</v>
      </c>
    </row>
    <row r="359" customFormat="false" ht="15" hidden="false" customHeight="false" outlineLevel="0" collapsed="false">
      <c r="A359" s="2" t="s">
        <v>367</v>
      </c>
      <c r="B359" s="2" t="s">
        <v>15</v>
      </c>
      <c r="C359" s="3" t="n">
        <v>8400</v>
      </c>
      <c r="D359" s="2" t="n">
        <v>10</v>
      </c>
      <c r="E359" s="2" t="n">
        <v>10</v>
      </c>
    </row>
    <row r="360" customFormat="false" ht="15" hidden="false" customHeight="false" outlineLevel="0" collapsed="false">
      <c r="A360" s="2" t="s">
        <v>368</v>
      </c>
      <c r="B360" s="2" t="s">
        <v>10</v>
      </c>
      <c r="C360" s="3" t="n">
        <v>7300</v>
      </c>
      <c r="D360" s="2" t="n">
        <v>9</v>
      </c>
      <c r="E360" s="2" t="n">
        <v>9</v>
      </c>
    </row>
    <row r="361" customFormat="false" ht="15" hidden="false" customHeight="false" outlineLevel="0" collapsed="false">
      <c r="A361" s="2" t="s">
        <v>369</v>
      </c>
      <c r="B361" s="2" t="s">
        <v>15</v>
      </c>
      <c r="C361" s="3" t="n">
        <v>5300</v>
      </c>
      <c r="D361" s="2" t="n">
        <v>15</v>
      </c>
      <c r="E361" s="2" t="n">
        <v>45</v>
      </c>
    </row>
    <row r="362" customFormat="false" ht="15" hidden="false" customHeight="false" outlineLevel="0" collapsed="false">
      <c r="A362" s="2" t="s">
        <v>370</v>
      </c>
      <c r="B362" s="2" t="s">
        <v>12</v>
      </c>
      <c r="C362" s="3" t="n">
        <v>11400</v>
      </c>
      <c r="D362" s="2" t="n">
        <v>41</v>
      </c>
      <c r="E362" s="2" t="n">
        <v>41</v>
      </c>
    </row>
    <row r="363" customFormat="false" ht="15" hidden="false" customHeight="false" outlineLevel="0" collapsed="false">
      <c r="A363" s="2" t="s">
        <v>371</v>
      </c>
      <c r="B363" s="2" t="s">
        <v>12</v>
      </c>
      <c r="C363" s="3" t="n">
        <v>14100</v>
      </c>
      <c r="D363" s="2" t="n">
        <v>6</v>
      </c>
      <c r="E363" s="2" t="n">
        <v>6</v>
      </c>
    </row>
    <row r="364" customFormat="false" ht="15" hidden="false" customHeight="false" outlineLevel="0" collapsed="false">
      <c r="A364" s="2" t="s">
        <v>372</v>
      </c>
      <c r="B364" s="2" t="s">
        <v>10</v>
      </c>
      <c r="C364" s="3" t="n">
        <v>6200</v>
      </c>
      <c r="D364" s="2" t="n">
        <v>4</v>
      </c>
      <c r="E364" s="2" t="n">
        <v>4</v>
      </c>
    </row>
    <row r="365" customFormat="false" ht="15" hidden="false" customHeight="false" outlineLevel="0" collapsed="false">
      <c r="A365" s="2" t="s">
        <v>373</v>
      </c>
      <c r="B365" s="2" t="s">
        <v>6</v>
      </c>
      <c r="C365" s="3" t="n">
        <v>9200</v>
      </c>
      <c r="D365" s="2" t="n">
        <v>8</v>
      </c>
      <c r="E365" s="2" t="n">
        <v>8</v>
      </c>
    </row>
    <row r="366" customFormat="false" ht="15" hidden="false" customHeight="false" outlineLevel="0" collapsed="false">
      <c r="A366" s="2" t="s">
        <v>374</v>
      </c>
      <c r="B366" s="2" t="s">
        <v>15</v>
      </c>
      <c r="C366" s="3" t="n">
        <v>5700</v>
      </c>
      <c r="D366" s="2" t="n">
        <v>10</v>
      </c>
      <c r="E366" s="2" t="n">
        <v>10</v>
      </c>
    </row>
    <row r="367" customFormat="false" ht="15" hidden="false" customHeight="false" outlineLevel="0" collapsed="false">
      <c r="A367" s="2" t="s">
        <v>375</v>
      </c>
      <c r="B367" s="2" t="s">
        <v>15</v>
      </c>
      <c r="C367" s="3" t="n">
        <v>5300</v>
      </c>
      <c r="D367" s="2" t="n">
        <v>25</v>
      </c>
      <c r="E367" s="2" t="n">
        <v>25</v>
      </c>
    </row>
    <row r="368" customFormat="false" ht="15" hidden="false" customHeight="false" outlineLevel="0" collapsed="false">
      <c r="A368" s="2" t="s">
        <v>376</v>
      </c>
      <c r="B368" s="2" t="s">
        <v>15</v>
      </c>
      <c r="C368" s="3" t="n">
        <v>8500</v>
      </c>
      <c r="D368" s="2" t="n">
        <v>30</v>
      </c>
      <c r="E368" s="2" t="n">
        <v>30</v>
      </c>
    </row>
    <row r="369" customFormat="false" ht="15" hidden="false" customHeight="false" outlineLevel="0" collapsed="false">
      <c r="A369" s="2" t="s">
        <v>377</v>
      </c>
      <c r="B369" s="2" t="s">
        <v>15</v>
      </c>
      <c r="C369" s="3" t="n">
        <v>10800</v>
      </c>
      <c r="D369" s="2" t="n">
        <v>5</v>
      </c>
      <c r="E369" s="2" t="n">
        <v>5</v>
      </c>
    </row>
    <row r="370" customFormat="false" ht="15" hidden="false" customHeight="false" outlineLevel="0" collapsed="false">
      <c r="A370" s="2" t="s">
        <v>378</v>
      </c>
      <c r="B370" s="2" t="s">
        <v>8</v>
      </c>
      <c r="C370" s="3" t="n">
        <v>5900</v>
      </c>
      <c r="D370" s="2" t="n">
        <v>17</v>
      </c>
      <c r="E370" s="2" t="n">
        <v>17</v>
      </c>
    </row>
    <row r="371" customFormat="false" ht="15" hidden="false" customHeight="false" outlineLevel="0" collapsed="false">
      <c r="A371" s="2" t="s">
        <v>379</v>
      </c>
      <c r="B371" s="2" t="s">
        <v>6</v>
      </c>
      <c r="C371" s="3" t="n">
        <v>2400</v>
      </c>
      <c r="D371" s="2" t="n">
        <v>3</v>
      </c>
      <c r="E371" s="2" t="n">
        <v>23</v>
      </c>
    </row>
    <row r="372" customFormat="false" ht="15" hidden="false" customHeight="false" outlineLevel="0" collapsed="false">
      <c r="A372" s="2" t="s">
        <v>380</v>
      </c>
      <c r="B372" s="2" t="s">
        <v>10</v>
      </c>
      <c r="C372" s="3" t="n">
        <v>11200</v>
      </c>
      <c r="D372" s="2" t="n">
        <v>4</v>
      </c>
      <c r="E372" s="2" t="n">
        <v>4</v>
      </c>
    </row>
    <row r="373" customFormat="false" ht="15" hidden="false" customHeight="false" outlineLevel="0" collapsed="false">
      <c r="A373" s="2" t="s">
        <v>381</v>
      </c>
      <c r="B373" s="2" t="s">
        <v>15</v>
      </c>
      <c r="C373" s="3" t="n">
        <v>3400</v>
      </c>
      <c r="D373" s="2" t="n">
        <v>45</v>
      </c>
      <c r="E373" s="2" t="n">
        <v>45</v>
      </c>
    </row>
    <row r="374" customFormat="false" ht="15" hidden="false" customHeight="false" outlineLevel="0" collapsed="false">
      <c r="A374" s="2" t="s">
        <v>382</v>
      </c>
      <c r="B374" s="2" t="s">
        <v>15</v>
      </c>
      <c r="C374" s="3" t="n">
        <v>8700</v>
      </c>
      <c r="D374" s="2" t="n">
        <v>10</v>
      </c>
      <c r="E374" s="2" t="n">
        <v>10</v>
      </c>
    </row>
    <row r="375" customFormat="false" ht="15" hidden="false" customHeight="false" outlineLevel="0" collapsed="false">
      <c r="A375" s="2" t="s">
        <v>383</v>
      </c>
      <c r="B375" s="2" t="s">
        <v>10</v>
      </c>
      <c r="C375" s="3" t="n">
        <v>21600</v>
      </c>
      <c r="D375" s="2" t="n">
        <v>19</v>
      </c>
      <c r="E375" s="2" t="n">
        <v>19</v>
      </c>
    </row>
    <row r="376" customFormat="false" ht="15" hidden="false" customHeight="false" outlineLevel="0" collapsed="false">
      <c r="A376" s="2" t="s">
        <v>384</v>
      </c>
      <c r="B376" s="2" t="s">
        <v>15</v>
      </c>
      <c r="C376" s="3" t="n">
        <v>8000</v>
      </c>
      <c r="D376" s="2" t="n">
        <v>15</v>
      </c>
      <c r="E376" s="2" t="n">
        <v>15</v>
      </c>
    </row>
    <row r="377" customFormat="false" ht="15" hidden="false" customHeight="false" outlineLevel="0" collapsed="false">
      <c r="A377" s="2" t="s">
        <v>385</v>
      </c>
      <c r="B377" s="2" t="s">
        <v>8</v>
      </c>
      <c r="C377" s="3" t="n">
        <v>4200</v>
      </c>
      <c r="D377" s="2" t="n">
        <v>42</v>
      </c>
      <c r="E377" s="2" t="n">
        <v>42</v>
      </c>
    </row>
    <row r="378" customFormat="false" ht="15" hidden="false" customHeight="false" outlineLevel="0" collapsed="false">
      <c r="A378" s="2" t="s">
        <v>386</v>
      </c>
      <c r="B378" s="2" t="s">
        <v>15</v>
      </c>
      <c r="C378" s="3" t="n">
        <v>3600</v>
      </c>
      <c r="D378" s="2" t="n">
        <v>10</v>
      </c>
      <c r="E378" s="2" t="n">
        <v>10</v>
      </c>
    </row>
    <row r="379" customFormat="false" ht="15" hidden="false" customHeight="false" outlineLevel="0" collapsed="false">
      <c r="A379" s="2" t="s">
        <v>387</v>
      </c>
      <c r="B379" s="2" t="s">
        <v>6</v>
      </c>
      <c r="C379" s="3" t="n">
        <v>15400</v>
      </c>
      <c r="D379" s="2" t="n">
        <v>3</v>
      </c>
      <c r="E379" s="2" t="n">
        <v>3</v>
      </c>
    </row>
    <row r="380" customFormat="false" ht="15" hidden="false" customHeight="false" outlineLevel="0" collapsed="false">
      <c r="A380" s="2" t="s">
        <v>388</v>
      </c>
      <c r="B380" s="2" t="s">
        <v>15</v>
      </c>
      <c r="C380" s="3" t="n">
        <v>8000</v>
      </c>
      <c r="D380" s="2" t="n">
        <v>30</v>
      </c>
      <c r="E380" s="2" t="n">
        <v>30</v>
      </c>
    </row>
    <row r="381" customFormat="false" ht="15" hidden="false" customHeight="false" outlineLevel="0" collapsed="false">
      <c r="A381" s="2" t="s">
        <v>389</v>
      </c>
      <c r="B381" s="2" t="s">
        <v>8</v>
      </c>
      <c r="C381" s="3" t="n">
        <v>10900</v>
      </c>
      <c r="D381" s="2" t="n">
        <v>37</v>
      </c>
      <c r="E381" s="2" t="n">
        <v>37</v>
      </c>
    </row>
    <row r="382" customFormat="false" ht="15" hidden="false" customHeight="false" outlineLevel="0" collapsed="false">
      <c r="A382" s="2" t="s">
        <v>390</v>
      </c>
      <c r="B382" s="2" t="s">
        <v>10</v>
      </c>
      <c r="C382" s="3" t="n">
        <v>13500</v>
      </c>
      <c r="D382" s="2" t="n">
        <v>9</v>
      </c>
      <c r="E382" s="2" t="n">
        <v>9</v>
      </c>
    </row>
    <row r="383" customFormat="false" ht="15" hidden="false" customHeight="false" outlineLevel="0" collapsed="false">
      <c r="A383" s="2" t="s">
        <v>391</v>
      </c>
      <c r="B383" s="2" t="s">
        <v>8</v>
      </c>
      <c r="C383" s="3" t="n">
        <v>7900</v>
      </c>
      <c r="D383" s="2" t="n">
        <v>2</v>
      </c>
      <c r="E383" s="2" t="n">
        <v>2</v>
      </c>
    </row>
    <row r="384" customFormat="false" ht="15" hidden="false" customHeight="false" outlineLevel="0" collapsed="false">
      <c r="A384" s="2" t="s">
        <v>392</v>
      </c>
      <c r="B384" s="2" t="s">
        <v>10</v>
      </c>
      <c r="C384" s="3" t="n">
        <v>6800</v>
      </c>
      <c r="D384" s="2" t="n">
        <v>19</v>
      </c>
      <c r="E384" s="2" t="n">
        <v>19</v>
      </c>
    </row>
    <row r="385" customFormat="false" ht="15" hidden="false" customHeight="false" outlineLevel="0" collapsed="false">
      <c r="A385" s="2" t="s">
        <v>393</v>
      </c>
      <c r="B385" s="2" t="s">
        <v>12</v>
      </c>
      <c r="C385" s="3" t="n">
        <v>4800</v>
      </c>
      <c r="D385" s="2" t="n">
        <v>6</v>
      </c>
      <c r="E385" s="2" t="n">
        <v>6</v>
      </c>
    </row>
    <row r="386" customFormat="false" ht="15" hidden="false" customHeight="false" outlineLevel="0" collapsed="false">
      <c r="A386" s="2" t="s">
        <v>394</v>
      </c>
      <c r="B386" s="2" t="s">
        <v>10</v>
      </c>
      <c r="C386" s="3" t="n">
        <v>2000</v>
      </c>
      <c r="D386" s="2" t="n">
        <v>29</v>
      </c>
      <c r="E386" s="2" t="n">
        <v>29</v>
      </c>
    </row>
    <row r="387" customFormat="false" ht="15" hidden="false" customHeight="false" outlineLevel="0" collapsed="false">
      <c r="A387" s="2" t="s">
        <v>395</v>
      </c>
      <c r="B387" s="2" t="s">
        <v>10</v>
      </c>
      <c r="C387" s="3" t="n">
        <v>3500</v>
      </c>
      <c r="D387" s="2" t="n">
        <v>39</v>
      </c>
      <c r="E387" s="2" t="n">
        <v>24</v>
      </c>
    </row>
    <row r="388" customFormat="false" ht="15" hidden="false" customHeight="false" outlineLevel="0" collapsed="false">
      <c r="A388" s="2" t="s">
        <v>396</v>
      </c>
      <c r="B388" s="2" t="s">
        <v>6</v>
      </c>
      <c r="C388" s="3" t="n">
        <v>7800</v>
      </c>
      <c r="D388" s="2" t="n">
        <v>28</v>
      </c>
      <c r="E388" s="2" t="n">
        <v>28</v>
      </c>
    </row>
    <row r="389" customFormat="false" ht="15" hidden="false" customHeight="false" outlineLevel="0" collapsed="false">
      <c r="A389" s="2" t="s">
        <v>397</v>
      </c>
      <c r="B389" s="2" t="s">
        <v>12</v>
      </c>
      <c r="C389" s="3" t="n">
        <v>7400</v>
      </c>
      <c r="D389" s="2" t="n">
        <v>1</v>
      </c>
      <c r="E389" s="2" t="n">
        <v>1</v>
      </c>
    </row>
    <row r="390" customFormat="false" ht="15" hidden="false" customHeight="false" outlineLevel="0" collapsed="false">
      <c r="A390" s="2" t="s">
        <v>398</v>
      </c>
      <c r="B390" s="2" t="s">
        <v>8</v>
      </c>
      <c r="C390" s="3" t="n">
        <v>10100</v>
      </c>
      <c r="D390" s="2" t="n">
        <v>27</v>
      </c>
      <c r="E390" s="2" t="n">
        <v>27</v>
      </c>
    </row>
    <row r="391" customFormat="false" ht="15" hidden="false" customHeight="false" outlineLevel="0" collapsed="false">
      <c r="A391" s="2" t="s">
        <v>399</v>
      </c>
      <c r="B391" s="2" t="s">
        <v>10</v>
      </c>
      <c r="C391" s="3" t="n">
        <v>7600</v>
      </c>
      <c r="D391" s="2" t="n">
        <v>34</v>
      </c>
      <c r="E391" s="2" t="n">
        <v>34</v>
      </c>
    </row>
    <row r="392" customFormat="false" ht="15" hidden="false" customHeight="false" outlineLevel="0" collapsed="false">
      <c r="A392" s="2" t="s">
        <v>400</v>
      </c>
      <c r="B392" s="2" t="s">
        <v>12</v>
      </c>
      <c r="C392" s="3" t="n">
        <v>8800</v>
      </c>
      <c r="D392" s="2" t="n">
        <v>11</v>
      </c>
      <c r="E392" s="2" t="n">
        <v>11</v>
      </c>
    </row>
    <row r="393" customFormat="false" ht="15" hidden="false" customHeight="false" outlineLevel="0" collapsed="false">
      <c r="A393" s="2" t="s">
        <v>401</v>
      </c>
      <c r="B393" s="2" t="s">
        <v>8</v>
      </c>
      <c r="C393" s="3" t="n">
        <v>12500</v>
      </c>
      <c r="D393" s="2" t="n">
        <v>2</v>
      </c>
      <c r="E393" s="2" t="n">
        <v>2</v>
      </c>
    </row>
    <row r="394" customFormat="false" ht="15" hidden="false" customHeight="false" outlineLevel="0" collapsed="false">
      <c r="A394" s="2" t="s">
        <v>402</v>
      </c>
      <c r="B394" s="2" t="s">
        <v>6</v>
      </c>
      <c r="C394" s="3" t="n">
        <v>5000</v>
      </c>
      <c r="D394" s="2" t="n">
        <v>13</v>
      </c>
      <c r="E394" s="2" t="n">
        <v>13</v>
      </c>
    </row>
    <row r="395" customFormat="false" ht="15" hidden="false" customHeight="false" outlineLevel="0" collapsed="false">
      <c r="A395" s="2" t="s">
        <v>403</v>
      </c>
      <c r="B395" s="2" t="s">
        <v>12</v>
      </c>
      <c r="C395" s="3" t="n">
        <v>6900</v>
      </c>
      <c r="D395" s="2" t="n">
        <v>1</v>
      </c>
      <c r="E395" s="2" t="n">
        <v>1</v>
      </c>
    </row>
    <row r="396" customFormat="false" ht="15" hidden="false" customHeight="false" outlineLevel="0" collapsed="false">
      <c r="A396" s="2" t="s">
        <v>404</v>
      </c>
      <c r="B396" s="2" t="s">
        <v>8</v>
      </c>
      <c r="C396" s="3" t="n">
        <v>3300</v>
      </c>
      <c r="D396" s="2" t="n">
        <v>47</v>
      </c>
      <c r="E396" s="2" t="n">
        <v>47</v>
      </c>
    </row>
    <row r="397" customFormat="false" ht="15" hidden="false" customHeight="false" outlineLevel="0" collapsed="false">
      <c r="A397" s="2" t="s">
        <v>405</v>
      </c>
      <c r="B397" s="2" t="s">
        <v>6</v>
      </c>
      <c r="C397" s="3" t="n">
        <v>13800</v>
      </c>
      <c r="D397" s="2" t="n">
        <v>3</v>
      </c>
      <c r="E397" s="2" t="n">
        <v>3</v>
      </c>
    </row>
    <row r="398" customFormat="false" ht="15" hidden="false" customHeight="false" outlineLevel="0" collapsed="false">
      <c r="A398" s="2" t="s">
        <v>406</v>
      </c>
      <c r="B398" s="2" t="s">
        <v>8</v>
      </c>
      <c r="C398" s="3" t="n">
        <v>8300</v>
      </c>
      <c r="D398" s="2" t="n">
        <v>32</v>
      </c>
      <c r="E398" s="2" t="n">
        <v>32</v>
      </c>
    </row>
    <row r="399" customFormat="false" ht="15" hidden="false" customHeight="false" outlineLevel="0" collapsed="false">
      <c r="A399" s="2" t="s">
        <v>407</v>
      </c>
      <c r="B399" s="2" t="s">
        <v>6</v>
      </c>
      <c r="C399" s="3" t="n">
        <v>10600</v>
      </c>
      <c r="D399" s="2" t="n">
        <v>43</v>
      </c>
      <c r="E399" s="2" t="n">
        <v>43</v>
      </c>
    </row>
    <row r="400" customFormat="false" ht="15" hidden="false" customHeight="false" outlineLevel="0" collapsed="false">
      <c r="A400" s="2" t="s">
        <v>408</v>
      </c>
      <c r="B400" s="2" t="s">
        <v>8</v>
      </c>
      <c r="C400" s="3" t="n">
        <v>18900</v>
      </c>
      <c r="D400" s="2" t="n">
        <v>37</v>
      </c>
      <c r="E400" s="2" t="n">
        <v>37</v>
      </c>
    </row>
    <row r="401" customFormat="false" ht="15" hidden="false" customHeight="false" outlineLevel="0" collapsed="false">
      <c r="A401" s="2" t="s">
        <v>409</v>
      </c>
      <c r="B401" s="2" t="s">
        <v>10</v>
      </c>
      <c r="C401" s="3" t="n">
        <v>14700</v>
      </c>
      <c r="D401" s="2" t="n">
        <v>39</v>
      </c>
      <c r="E401" s="2" t="n">
        <v>39</v>
      </c>
    </row>
    <row r="402" customFormat="false" ht="15" hidden="false" customHeight="false" outlineLevel="0" collapsed="false">
      <c r="A402" s="2" t="s">
        <v>410</v>
      </c>
      <c r="B402" s="2" t="s">
        <v>8</v>
      </c>
      <c r="C402" s="3" t="n">
        <v>7800</v>
      </c>
      <c r="D402" s="2" t="n">
        <v>17</v>
      </c>
      <c r="E402" s="2" t="n">
        <v>17</v>
      </c>
    </row>
    <row r="403" customFormat="false" ht="15" hidden="false" customHeight="false" outlineLevel="0" collapsed="false">
      <c r="A403" s="2" t="s">
        <v>411</v>
      </c>
      <c r="B403" s="2" t="s">
        <v>12</v>
      </c>
      <c r="C403" s="3" t="n">
        <v>12500</v>
      </c>
      <c r="D403" s="2" t="n">
        <v>11</v>
      </c>
      <c r="E403" s="2" t="n">
        <v>11</v>
      </c>
    </row>
    <row r="404" customFormat="false" ht="15" hidden="false" customHeight="false" outlineLevel="0" collapsed="false">
      <c r="A404" s="2" t="s">
        <v>412</v>
      </c>
      <c r="B404" s="2" t="s">
        <v>10</v>
      </c>
      <c r="C404" s="3" t="n">
        <v>3700</v>
      </c>
      <c r="D404" s="2" t="n">
        <v>29</v>
      </c>
      <c r="E404" s="2" t="n">
        <v>29</v>
      </c>
    </row>
    <row r="405" customFormat="false" ht="15" hidden="false" customHeight="false" outlineLevel="0" collapsed="false">
      <c r="A405" s="2" t="s">
        <v>413</v>
      </c>
      <c r="B405" s="2" t="s">
        <v>10</v>
      </c>
      <c r="C405" s="3" t="n">
        <v>10300</v>
      </c>
      <c r="D405" s="2" t="n">
        <v>4</v>
      </c>
      <c r="E405" s="2" t="n">
        <v>4</v>
      </c>
    </row>
    <row r="406" customFormat="false" ht="15" hidden="false" customHeight="false" outlineLevel="0" collapsed="false">
      <c r="A406" s="2" t="s">
        <v>414</v>
      </c>
      <c r="B406" s="2" t="s">
        <v>8</v>
      </c>
      <c r="C406" s="3" t="n">
        <v>8700</v>
      </c>
      <c r="D406" s="2" t="n">
        <v>2</v>
      </c>
      <c r="E406" s="2" t="n">
        <v>2</v>
      </c>
    </row>
    <row r="407" customFormat="false" ht="15" hidden="false" customHeight="false" outlineLevel="0" collapsed="false">
      <c r="A407" s="2" t="s">
        <v>415</v>
      </c>
      <c r="B407" s="2" t="s">
        <v>8</v>
      </c>
      <c r="C407" s="3" t="n">
        <v>3300</v>
      </c>
      <c r="D407" s="2" t="n">
        <v>17</v>
      </c>
      <c r="E407" s="2" t="n">
        <v>22</v>
      </c>
    </row>
    <row r="408" customFormat="false" ht="15" hidden="false" customHeight="false" outlineLevel="0" collapsed="false">
      <c r="A408" s="2" t="s">
        <v>416</v>
      </c>
      <c r="B408" s="2" t="s">
        <v>8</v>
      </c>
      <c r="C408" s="3" t="n">
        <v>16900</v>
      </c>
      <c r="D408" s="2" t="n">
        <v>17</v>
      </c>
      <c r="E408" s="2" t="n">
        <v>17</v>
      </c>
    </row>
    <row r="409" customFormat="false" ht="15" hidden="false" customHeight="false" outlineLevel="0" collapsed="false">
      <c r="A409" s="2" t="s">
        <v>417</v>
      </c>
      <c r="B409" s="2" t="s">
        <v>10</v>
      </c>
      <c r="C409" s="3" t="n">
        <v>5500</v>
      </c>
      <c r="D409" s="2" t="n">
        <v>19</v>
      </c>
      <c r="E409" s="2" t="n">
        <v>19</v>
      </c>
    </row>
    <row r="410" customFormat="false" ht="15" hidden="false" customHeight="false" outlineLevel="0" collapsed="false">
      <c r="A410" s="2" t="s">
        <v>418</v>
      </c>
      <c r="B410" s="2" t="s">
        <v>15</v>
      </c>
      <c r="C410" s="3" t="n">
        <v>11800</v>
      </c>
      <c r="D410" s="2" t="n">
        <v>40</v>
      </c>
      <c r="E410" s="2" t="n">
        <v>40</v>
      </c>
    </row>
    <row r="411" customFormat="false" ht="15" hidden="false" customHeight="false" outlineLevel="0" collapsed="false">
      <c r="A411" s="2" t="s">
        <v>419</v>
      </c>
      <c r="B411" s="2" t="s">
        <v>10</v>
      </c>
      <c r="C411" s="3" t="n">
        <v>6400</v>
      </c>
      <c r="D411" s="2" t="n">
        <v>29</v>
      </c>
      <c r="E411" s="2" t="n">
        <v>29</v>
      </c>
    </row>
    <row r="412" customFormat="false" ht="15" hidden="false" customHeight="false" outlineLevel="0" collapsed="false">
      <c r="A412" s="2" t="s">
        <v>420</v>
      </c>
      <c r="B412" s="2" t="s">
        <v>6</v>
      </c>
      <c r="C412" s="3" t="n">
        <v>14000</v>
      </c>
      <c r="D412" s="2" t="n">
        <v>8</v>
      </c>
      <c r="E412" s="2" t="n">
        <v>8</v>
      </c>
    </row>
    <row r="413" customFormat="false" ht="15" hidden="false" customHeight="false" outlineLevel="0" collapsed="false">
      <c r="A413" s="2" t="s">
        <v>421</v>
      </c>
      <c r="B413" s="2" t="s">
        <v>10</v>
      </c>
      <c r="C413" s="3" t="n">
        <v>16700</v>
      </c>
      <c r="D413" s="2" t="n">
        <v>24</v>
      </c>
      <c r="E413" s="2" t="n">
        <v>24</v>
      </c>
    </row>
    <row r="414" customFormat="false" ht="15" hidden="false" customHeight="false" outlineLevel="0" collapsed="false">
      <c r="A414" s="2" t="s">
        <v>422</v>
      </c>
      <c r="B414" s="2" t="s">
        <v>8</v>
      </c>
      <c r="C414" s="3" t="n">
        <v>5100</v>
      </c>
      <c r="D414" s="2" t="n">
        <v>27</v>
      </c>
      <c r="E414" s="2" t="n">
        <v>27</v>
      </c>
    </row>
    <row r="415" customFormat="false" ht="15" hidden="false" customHeight="false" outlineLevel="0" collapsed="false">
      <c r="A415" s="2" t="s">
        <v>423</v>
      </c>
      <c r="B415" s="2" t="s">
        <v>6</v>
      </c>
      <c r="C415" s="3" t="n">
        <v>3500</v>
      </c>
      <c r="D415" s="2" t="n">
        <v>18</v>
      </c>
      <c r="E415" s="2" t="n">
        <v>18</v>
      </c>
    </row>
    <row r="416" customFormat="false" ht="15" hidden="false" customHeight="false" outlineLevel="0" collapsed="false">
      <c r="A416" s="2" t="s">
        <v>424</v>
      </c>
      <c r="B416" s="2" t="s">
        <v>6</v>
      </c>
      <c r="C416" s="3" t="n">
        <v>7500</v>
      </c>
      <c r="D416" s="2" t="n">
        <v>13</v>
      </c>
      <c r="E416" s="2" t="n">
        <v>13</v>
      </c>
    </row>
    <row r="417" customFormat="false" ht="15" hidden="false" customHeight="false" outlineLevel="0" collapsed="false">
      <c r="A417" s="2" t="s">
        <v>425</v>
      </c>
      <c r="B417" s="2" t="s">
        <v>12</v>
      </c>
      <c r="C417" s="3" t="n">
        <v>12900</v>
      </c>
      <c r="D417" s="2" t="n">
        <v>46</v>
      </c>
      <c r="E417" s="2" t="n">
        <v>46</v>
      </c>
    </row>
    <row r="418" customFormat="false" ht="15" hidden="false" customHeight="false" outlineLevel="0" collapsed="false">
      <c r="A418" s="2" t="s">
        <v>426</v>
      </c>
      <c r="B418" s="2" t="s">
        <v>6</v>
      </c>
      <c r="C418" s="3" t="n">
        <v>6600</v>
      </c>
      <c r="D418" s="2" t="n">
        <v>28</v>
      </c>
      <c r="E418" s="2" t="n">
        <v>28</v>
      </c>
    </row>
    <row r="419" customFormat="false" ht="15" hidden="false" customHeight="false" outlineLevel="0" collapsed="false">
      <c r="A419" s="2" t="s">
        <v>427</v>
      </c>
      <c r="B419" s="2" t="s">
        <v>12</v>
      </c>
      <c r="C419" s="3" t="n">
        <v>5800</v>
      </c>
      <c r="D419" s="2" t="n">
        <v>16</v>
      </c>
      <c r="E419" s="2" t="n">
        <v>26</v>
      </c>
    </row>
    <row r="420" customFormat="false" ht="15" hidden="false" customHeight="false" outlineLevel="0" collapsed="false">
      <c r="A420" s="2" t="s">
        <v>428</v>
      </c>
      <c r="B420" s="2" t="s">
        <v>6</v>
      </c>
      <c r="C420" s="3" t="n">
        <v>10600</v>
      </c>
      <c r="D420" s="2" t="n">
        <v>3</v>
      </c>
      <c r="E420" s="2" t="n">
        <v>3</v>
      </c>
    </row>
    <row r="421" customFormat="false" ht="15" hidden="false" customHeight="false" outlineLevel="0" collapsed="false">
      <c r="A421" s="2" t="s">
        <v>429</v>
      </c>
      <c r="B421" s="2" t="s">
        <v>15</v>
      </c>
      <c r="C421" s="3" t="n">
        <v>2000</v>
      </c>
      <c r="D421" s="2" t="n">
        <v>35</v>
      </c>
      <c r="E421" s="2" t="n">
        <v>35</v>
      </c>
    </row>
    <row r="422" customFormat="false" ht="15" hidden="false" customHeight="false" outlineLevel="0" collapsed="false">
      <c r="A422" s="2" t="s">
        <v>430</v>
      </c>
      <c r="B422" s="2" t="s">
        <v>10</v>
      </c>
      <c r="C422" s="3" t="n">
        <v>5600</v>
      </c>
      <c r="D422" s="2" t="n">
        <v>44</v>
      </c>
      <c r="E422" s="2" t="n">
        <v>44</v>
      </c>
    </row>
    <row r="423" customFormat="false" ht="15" hidden="false" customHeight="false" outlineLevel="0" collapsed="false">
      <c r="A423" s="2" t="s">
        <v>431</v>
      </c>
      <c r="B423" s="2" t="s">
        <v>10</v>
      </c>
      <c r="C423" s="3" t="n">
        <v>3800</v>
      </c>
      <c r="D423" s="2" t="n">
        <v>19</v>
      </c>
      <c r="E423" s="2" t="n">
        <v>34</v>
      </c>
    </row>
    <row r="424" customFormat="false" ht="15" hidden="false" customHeight="false" outlineLevel="0" collapsed="false">
      <c r="A424" s="2" t="s">
        <v>432</v>
      </c>
      <c r="B424" s="2" t="s">
        <v>12</v>
      </c>
      <c r="C424" s="3" t="n">
        <v>9500</v>
      </c>
      <c r="D424" s="2" t="n">
        <v>1</v>
      </c>
      <c r="E424" s="2" t="n">
        <v>1</v>
      </c>
    </row>
    <row r="425" customFormat="false" ht="15" hidden="false" customHeight="false" outlineLevel="0" collapsed="false">
      <c r="A425" s="2" t="s">
        <v>433</v>
      </c>
      <c r="B425" s="2" t="s">
        <v>10</v>
      </c>
      <c r="C425" s="3" t="n">
        <v>5400</v>
      </c>
      <c r="D425" s="2" t="n">
        <v>39</v>
      </c>
      <c r="E425" s="2" t="n">
        <v>39</v>
      </c>
    </row>
    <row r="426" customFormat="false" ht="15" hidden="false" customHeight="false" outlineLevel="0" collapsed="false">
      <c r="A426" s="2" t="s">
        <v>434</v>
      </c>
      <c r="B426" s="2" t="s">
        <v>6</v>
      </c>
      <c r="C426" s="3" t="n">
        <v>4400</v>
      </c>
      <c r="D426" s="2" t="n">
        <v>38</v>
      </c>
      <c r="E426" s="2" t="n">
        <v>38</v>
      </c>
    </row>
    <row r="427" customFormat="false" ht="15" hidden="false" customHeight="false" outlineLevel="0" collapsed="false">
      <c r="A427" s="2" t="s">
        <v>435</v>
      </c>
      <c r="B427" s="2" t="s">
        <v>15</v>
      </c>
      <c r="C427" s="3" t="n">
        <v>6700</v>
      </c>
      <c r="D427" s="2" t="n">
        <v>30</v>
      </c>
      <c r="E427" s="2" t="n">
        <v>30</v>
      </c>
    </row>
    <row r="428" customFormat="false" ht="15" hidden="false" customHeight="false" outlineLevel="0" collapsed="false">
      <c r="A428" s="2" t="s">
        <v>436</v>
      </c>
      <c r="B428" s="2" t="s">
        <v>15</v>
      </c>
      <c r="C428" s="3" t="n">
        <v>3600</v>
      </c>
      <c r="D428" s="2" t="n">
        <v>20</v>
      </c>
      <c r="E428" s="2" t="n">
        <v>45</v>
      </c>
    </row>
    <row r="429" customFormat="false" ht="15" hidden="false" customHeight="false" outlineLevel="0" collapsed="false">
      <c r="A429" s="2" t="s">
        <v>437</v>
      </c>
      <c r="B429" s="2" t="s">
        <v>6</v>
      </c>
      <c r="C429" s="3" t="n">
        <v>8000</v>
      </c>
      <c r="D429" s="2" t="n">
        <v>18</v>
      </c>
      <c r="E429" s="2" t="n">
        <v>18</v>
      </c>
    </row>
    <row r="430" customFormat="false" ht="15" hidden="false" customHeight="false" outlineLevel="0" collapsed="false">
      <c r="A430" s="2" t="s">
        <v>438</v>
      </c>
      <c r="B430" s="2" t="s">
        <v>15</v>
      </c>
      <c r="C430" s="3" t="n">
        <v>5600</v>
      </c>
      <c r="D430" s="2" t="n">
        <v>50</v>
      </c>
      <c r="E430" s="2" t="n">
        <v>50</v>
      </c>
    </row>
    <row r="431" customFormat="false" ht="15" hidden="false" customHeight="false" outlineLevel="0" collapsed="false">
      <c r="A431" s="2" t="s">
        <v>439</v>
      </c>
      <c r="B431" s="2" t="s">
        <v>12</v>
      </c>
      <c r="C431" s="3" t="n">
        <v>6600</v>
      </c>
      <c r="D431" s="2" t="n">
        <v>16</v>
      </c>
      <c r="E431" s="2" t="n">
        <v>16</v>
      </c>
    </row>
    <row r="432" customFormat="false" ht="15" hidden="false" customHeight="false" outlineLevel="0" collapsed="false">
      <c r="A432" s="2" t="s">
        <v>440</v>
      </c>
      <c r="B432" s="2" t="s">
        <v>12</v>
      </c>
      <c r="C432" s="3" t="n">
        <v>5500</v>
      </c>
      <c r="D432" s="2" t="n">
        <v>6</v>
      </c>
      <c r="E432" s="2" t="n">
        <v>6</v>
      </c>
    </row>
    <row r="433" customFormat="false" ht="15" hidden="false" customHeight="false" outlineLevel="0" collapsed="false">
      <c r="A433" s="2" t="s">
        <v>441</v>
      </c>
      <c r="B433" s="2" t="s">
        <v>8</v>
      </c>
      <c r="C433" s="3" t="n">
        <v>13400</v>
      </c>
      <c r="D433" s="2" t="n">
        <v>2</v>
      </c>
      <c r="E433" s="2" t="n">
        <v>2</v>
      </c>
    </row>
    <row r="434" customFormat="false" ht="15" hidden="false" customHeight="false" outlineLevel="0" collapsed="false">
      <c r="A434" s="2" t="s">
        <v>442</v>
      </c>
      <c r="B434" s="2" t="s">
        <v>12</v>
      </c>
      <c r="C434" s="3" t="n">
        <v>7600</v>
      </c>
      <c r="D434" s="2" t="n">
        <v>1</v>
      </c>
      <c r="E434" s="2" t="n">
        <v>1</v>
      </c>
    </row>
    <row r="435" customFormat="false" ht="15" hidden="false" customHeight="false" outlineLevel="0" collapsed="false">
      <c r="A435" s="2" t="s">
        <v>443</v>
      </c>
      <c r="B435" s="2" t="s">
        <v>12</v>
      </c>
      <c r="C435" s="3" t="n">
        <v>10800</v>
      </c>
      <c r="D435" s="2" t="n">
        <v>21</v>
      </c>
      <c r="E435" s="2" t="n">
        <v>21</v>
      </c>
    </row>
    <row r="436" customFormat="false" ht="15" hidden="false" customHeight="false" outlineLevel="0" collapsed="false">
      <c r="A436" s="2" t="s">
        <v>444</v>
      </c>
      <c r="B436" s="2" t="s">
        <v>6</v>
      </c>
      <c r="C436" s="3" t="n">
        <v>10600</v>
      </c>
      <c r="D436" s="2" t="n">
        <v>13</v>
      </c>
      <c r="E436" s="2" t="n">
        <v>13</v>
      </c>
    </row>
    <row r="437" customFormat="false" ht="15" hidden="false" customHeight="false" outlineLevel="0" collapsed="false">
      <c r="A437" s="2" t="s">
        <v>445</v>
      </c>
      <c r="B437" s="2" t="s">
        <v>6</v>
      </c>
      <c r="C437" s="3" t="n">
        <v>5200</v>
      </c>
      <c r="D437" s="2" t="n">
        <v>38</v>
      </c>
      <c r="E437" s="2" t="n">
        <v>38</v>
      </c>
    </row>
    <row r="438" customFormat="false" ht="15" hidden="false" customHeight="false" outlineLevel="0" collapsed="false">
      <c r="A438" s="2" t="s">
        <v>446</v>
      </c>
      <c r="B438" s="2" t="s">
        <v>12</v>
      </c>
      <c r="C438" s="3" t="n">
        <v>11100</v>
      </c>
      <c r="D438" s="2" t="n">
        <v>6</v>
      </c>
      <c r="E438" s="2" t="n">
        <v>6</v>
      </c>
    </row>
    <row r="439" customFormat="false" ht="15" hidden="false" customHeight="false" outlineLevel="0" collapsed="false">
      <c r="A439" s="2" t="s">
        <v>447</v>
      </c>
      <c r="B439" s="2" t="s">
        <v>8</v>
      </c>
      <c r="C439" s="3" t="n">
        <v>9800</v>
      </c>
      <c r="D439" s="2" t="n">
        <v>2</v>
      </c>
      <c r="E439" s="2" t="n">
        <v>2</v>
      </c>
    </row>
    <row r="440" customFormat="false" ht="15" hidden="false" customHeight="false" outlineLevel="0" collapsed="false">
      <c r="A440" s="2" t="s">
        <v>448</v>
      </c>
      <c r="B440" s="2" t="s">
        <v>6</v>
      </c>
      <c r="C440" s="3" t="n">
        <v>9600</v>
      </c>
      <c r="D440" s="2" t="n">
        <v>8</v>
      </c>
      <c r="E440" s="2" t="n">
        <v>8</v>
      </c>
    </row>
    <row r="441" customFormat="false" ht="15" hidden="false" customHeight="false" outlineLevel="0" collapsed="false">
      <c r="A441" s="2" t="s">
        <v>449</v>
      </c>
      <c r="B441" s="2" t="s">
        <v>8</v>
      </c>
      <c r="C441" s="3" t="n">
        <v>6500</v>
      </c>
      <c r="D441" s="2" t="n">
        <v>37</v>
      </c>
      <c r="E441" s="2" t="n">
        <v>37</v>
      </c>
    </row>
    <row r="442" customFormat="false" ht="15" hidden="false" customHeight="false" outlineLevel="0" collapsed="false">
      <c r="A442" s="2" t="s">
        <v>450</v>
      </c>
      <c r="B442" s="2" t="s">
        <v>10</v>
      </c>
      <c r="C442" s="3" t="n">
        <v>6400</v>
      </c>
      <c r="D442" s="2" t="n">
        <v>19</v>
      </c>
      <c r="E442" s="2" t="n">
        <v>19</v>
      </c>
    </row>
    <row r="443" customFormat="false" ht="15" hidden="false" customHeight="false" outlineLevel="0" collapsed="false">
      <c r="A443" s="2" t="s">
        <v>451</v>
      </c>
      <c r="B443" s="2" t="s">
        <v>6</v>
      </c>
      <c r="C443" s="3" t="n">
        <v>12500</v>
      </c>
      <c r="D443" s="2" t="n">
        <v>23</v>
      </c>
      <c r="E443" s="2" t="n">
        <v>23</v>
      </c>
    </row>
    <row r="444" customFormat="false" ht="15" hidden="false" customHeight="false" outlineLevel="0" collapsed="false">
      <c r="A444" s="2" t="s">
        <v>452</v>
      </c>
      <c r="B444" s="2" t="s">
        <v>10</v>
      </c>
      <c r="C444" s="3" t="n">
        <v>26900</v>
      </c>
      <c r="D444" s="2" t="n">
        <v>49</v>
      </c>
      <c r="E444" s="2" t="n">
        <v>49</v>
      </c>
    </row>
    <row r="445" customFormat="false" ht="15" hidden="false" customHeight="false" outlineLevel="0" collapsed="false">
      <c r="A445" s="2" t="s">
        <v>453</v>
      </c>
      <c r="B445" s="2" t="s">
        <v>8</v>
      </c>
      <c r="C445" s="3" t="n">
        <v>5100</v>
      </c>
      <c r="D445" s="2" t="n">
        <v>32</v>
      </c>
      <c r="E445" s="2" t="n">
        <v>32</v>
      </c>
    </row>
    <row r="446" customFormat="false" ht="15" hidden="false" customHeight="false" outlineLevel="0" collapsed="false">
      <c r="A446" s="2" t="s">
        <v>454</v>
      </c>
      <c r="B446" s="2" t="s">
        <v>15</v>
      </c>
      <c r="C446" s="3" t="n">
        <v>10900</v>
      </c>
      <c r="D446" s="2" t="n">
        <v>10</v>
      </c>
      <c r="E446" s="2" t="n">
        <v>10</v>
      </c>
    </row>
    <row r="447" customFormat="false" ht="15" hidden="false" customHeight="false" outlineLevel="0" collapsed="false">
      <c r="A447" s="2" t="s">
        <v>455</v>
      </c>
      <c r="B447" s="2" t="s">
        <v>15</v>
      </c>
      <c r="C447" s="3" t="n">
        <v>6600</v>
      </c>
      <c r="D447" s="2" t="n">
        <v>15</v>
      </c>
      <c r="E447" s="2" t="n">
        <v>15</v>
      </c>
    </row>
    <row r="448" customFormat="false" ht="15" hidden="false" customHeight="false" outlineLevel="0" collapsed="false">
      <c r="A448" s="2" t="s">
        <v>456</v>
      </c>
      <c r="B448" s="2" t="s">
        <v>15</v>
      </c>
      <c r="C448" s="3" t="n">
        <v>12500</v>
      </c>
      <c r="D448" s="2" t="n">
        <v>10</v>
      </c>
      <c r="E448" s="2" t="n">
        <v>10</v>
      </c>
    </row>
    <row r="449" customFormat="false" ht="15" hidden="false" customHeight="false" outlineLevel="0" collapsed="false">
      <c r="A449" s="2" t="s">
        <v>457</v>
      </c>
      <c r="B449" s="2" t="s">
        <v>10</v>
      </c>
      <c r="C449" s="3" t="n">
        <v>10300</v>
      </c>
      <c r="D449" s="2" t="n">
        <v>9</v>
      </c>
      <c r="E449" s="2" t="n">
        <v>9</v>
      </c>
    </row>
    <row r="450" customFormat="false" ht="15" hidden="false" customHeight="false" outlineLevel="0" collapsed="false">
      <c r="A450" s="2" t="s">
        <v>458</v>
      </c>
      <c r="B450" s="2" t="s">
        <v>6</v>
      </c>
      <c r="C450" s="3" t="n">
        <v>14500</v>
      </c>
      <c r="D450" s="2" t="n">
        <v>3</v>
      </c>
      <c r="E450" s="2" t="n">
        <v>3</v>
      </c>
    </row>
    <row r="451" customFormat="false" ht="15" hidden="false" customHeight="false" outlineLevel="0" collapsed="false">
      <c r="A451" s="2" t="s">
        <v>459</v>
      </c>
      <c r="B451" s="2" t="s">
        <v>12</v>
      </c>
      <c r="C451" s="3" t="n">
        <v>2000</v>
      </c>
      <c r="D451" s="2" t="n">
        <v>11</v>
      </c>
      <c r="E451" s="2" t="n">
        <v>31</v>
      </c>
    </row>
    <row r="452" customFormat="false" ht="15" hidden="false" customHeight="false" outlineLevel="0" collapsed="false">
      <c r="A452" s="2" t="s">
        <v>460</v>
      </c>
      <c r="B452" s="2" t="s">
        <v>6</v>
      </c>
      <c r="C452" s="3" t="n">
        <v>5800</v>
      </c>
      <c r="D452" s="2" t="n">
        <v>33</v>
      </c>
      <c r="E452" s="2" t="n">
        <v>33</v>
      </c>
    </row>
    <row r="453" customFormat="false" ht="15" hidden="false" customHeight="false" outlineLevel="0" collapsed="false">
      <c r="A453" s="2" t="s">
        <v>461</v>
      </c>
      <c r="B453" s="2" t="s">
        <v>12</v>
      </c>
      <c r="C453" s="3" t="n">
        <v>4700</v>
      </c>
      <c r="D453" s="2" t="n">
        <v>36</v>
      </c>
      <c r="E453" s="2" t="n">
        <v>36</v>
      </c>
    </row>
    <row r="454" customFormat="false" ht="15" hidden="false" customHeight="false" outlineLevel="0" collapsed="false">
      <c r="A454" s="2" t="s">
        <v>462</v>
      </c>
      <c r="B454" s="2" t="s">
        <v>8</v>
      </c>
      <c r="C454" s="3" t="n">
        <v>7600</v>
      </c>
      <c r="D454" s="2" t="n">
        <v>37</v>
      </c>
      <c r="E454" s="2" t="n">
        <v>37</v>
      </c>
    </row>
    <row r="455" customFormat="false" ht="15" hidden="false" customHeight="false" outlineLevel="0" collapsed="false">
      <c r="A455" s="2" t="s">
        <v>463</v>
      </c>
      <c r="B455" s="2" t="s">
        <v>10</v>
      </c>
      <c r="C455" s="3" t="n">
        <v>5400</v>
      </c>
      <c r="D455" s="2" t="n">
        <v>14</v>
      </c>
      <c r="E455" s="2" t="n">
        <v>14</v>
      </c>
    </row>
    <row r="456" customFormat="false" ht="15" hidden="false" customHeight="false" outlineLevel="0" collapsed="false">
      <c r="A456" s="2" t="s">
        <v>464</v>
      </c>
      <c r="B456" s="2" t="s">
        <v>12</v>
      </c>
      <c r="C456" s="3" t="n">
        <v>5700</v>
      </c>
      <c r="D456" s="2" t="n">
        <v>36</v>
      </c>
      <c r="E456" s="2" t="n">
        <v>36</v>
      </c>
    </row>
    <row r="457" customFormat="false" ht="15" hidden="false" customHeight="false" outlineLevel="0" collapsed="false">
      <c r="A457" s="2" t="s">
        <v>465</v>
      </c>
      <c r="B457" s="2" t="s">
        <v>6</v>
      </c>
      <c r="C457" s="3" t="n">
        <v>11800</v>
      </c>
      <c r="D457" s="2" t="n">
        <v>3</v>
      </c>
      <c r="E457" s="2" t="n">
        <v>3</v>
      </c>
    </row>
    <row r="458" customFormat="false" ht="15" hidden="false" customHeight="false" outlineLevel="0" collapsed="false">
      <c r="A458" s="2" t="s">
        <v>466</v>
      </c>
      <c r="B458" s="2" t="s">
        <v>12</v>
      </c>
      <c r="C458" s="3" t="n">
        <v>23100</v>
      </c>
      <c r="D458" s="2" t="n">
        <v>41</v>
      </c>
      <c r="E458" s="2" t="n">
        <v>41</v>
      </c>
    </row>
    <row r="459" customFormat="false" ht="15" hidden="false" customHeight="false" outlineLevel="0" collapsed="false">
      <c r="A459" s="2" t="s">
        <v>467</v>
      </c>
      <c r="B459" s="2" t="s">
        <v>12</v>
      </c>
      <c r="C459" s="3" t="n">
        <v>2000</v>
      </c>
      <c r="D459" s="2" t="n">
        <v>11</v>
      </c>
      <c r="E459" s="2" t="n">
        <v>36</v>
      </c>
    </row>
    <row r="460" customFormat="false" ht="15" hidden="false" customHeight="false" outlineLevel="0" collapsed="false">
      <c r="A460" s="2" t="s">
        <v>468</v>
      </c>
      <c r="B460" s="2" t="s">
        <v>6</v>
      </c>
      <c r="C460" s="3" t="n">
        <v>6800</v>
      </c>
      <c r="D460" s="2" t="n">
        <v>28</v>
      </c>
      <c r="E460" s="2" t="n">
        <v>28</v>
      </c>
    </row>
    <row r="461" customFormat="false" ht="15" hidden="false" customHeight="false" outlineLevel="0" collapsed="false">
      <c r="A461" s="2" t="s">
        <v>469</v>
      </c>
      <c r="B461" s="2" t="s">
        <v>12</v>
      </c>
      <c r="C461" s="3" t="n">
        <v>9600</v>
      </c>
      <c r="D461" s="2" t="n">
        <v>26</v>
      </c>
      <c r="E461" s="2" t="n">
        <v>26</v>
      </c>
    </row>
    <row r="462" customFormat="false" ht="15" hidden="false" customHeight="false" outlineLevel="0" collapsed="false">
      <c r="A462" s="2" t="s">
        <v>470</v>
      </c>
      <c r="B462" s="2" t="s">
        <v>15</v>
      </c>
      <c r="C462" s="3" t="n">
        <v>8100</v>
      </c>
      <c r="D462" s="2" t="n">
        <v>5</v>
      </c>
      <c r="E462" s="2" t="n">
        <v>50</v>
      </c>
    </row>
    <row r="463" customFormat="false" ht="15" hidden="false" customHeight="false" outlineLevel="0" collapsed="false">
      <c r="A463" s="2" t="s">
        <v>471</v>
      </c>
      <c r="B463" s="2" t="s">
        <v>8</v>
      </c>
      <c r="C463" s="3" t="n">
        <v>6700</v>
      </c>
      <c r="D463" s="2" t="n">
        <v>32</v>
      </c>
      <c r="E463" s="2" t="n">
        <v>32</v>
      </c>
    </row>
    <row r="464" customFormat="false" ht="15" hidden="false" customHeight="false" outlineLevel="0" collapsed="false">
      <c r="A464" s="2" t="s">
        <v>472</v>
      </c>
      <c r="B464" s="2" t="s">
        <v>12</v>
      </c>
      <c r="C464" s="3" t="n">
        <v>3800</v>
      </c>
      <c r="D464" s="2" t="n">
        <v>31</v>
      </c>
      <c r="E464" s="2" t="n">
        <v>31</v>
      </c>
    </row>
    <row r="465" customFormat="false" ht="15" hidden="false" customHeight="false" outlineLevel="0" collapsed="false">
      <c r="A465" s="2" t="s">
        <v>473</v>
      </c>
      <c r="B465" s="2" t="s">
        <v>6</v>
      </c>
      <c r="C465" s="3" t="n">
        <v>4800</v>
      </c>
      <c r="D465" s="2" t="n">
        <v>43</v>
      </c>
      <c r="E465" s="2" t="n">
        <v>43</v>
      </c>
    </row>
    <row r="466" customFormat="false" ht="15" hidden="false" customHeight="false" outlineLevel="0" collapsed="false">
      <c r="A466" s="2" t="s">
        <v>474</v>
      </c>
      <c r="B466" s="2" t="s">
        <v>12</v>
      </c>
      <c r="C466" s="3" t="n">
        <v>12100</v>
      </c>
      <c r="D466" s="2" t="n">
        <v>26</v>
      </c>
      <c r="E466" s="2" t="n">
        <v>26</v>
      </c>
    </row>
    <row r="467" customFormat="false" ht="15" hidden="false" customHeight="false" outlineLevel="0" collapsed="false">
      <c r="A467" s="2" t="s">
        <v>475</v>
      </c>
      <c r="B467" s="2" t="s">
        <v>10</v>
      </c>
      <c r="C467" s="3" t="n">
        <v>14600</v>
      </c>
      <c r="D467" s="2" t="n">
        <v>44</v>
      </c>
      <c r="E467" s="2" t="n">
        <v>44</v>
      </c>
    </row>
    <row r="468" customFormat="false" ht="15" hidden="false" customHeight="false" outlineLevel="0" collapsed="false">
      <c r="A468" s="2" t="s">
        <v>476</v>
      </c>
      <c r="B468" s="2" t="s">
        <v>12</v>
      </c>
      <c r="C468" s="3" t="n">
        <v>8500</v>
      </c>
      <c r="D468" s="2" t="n">
        <v>26</v>
      </c>
      <c r="E468" s="2" t="n">
        <v>26</v>
      </c>
    </row>
    <row r="469" customFormat="false" ht="15" hidden="false" customHeight="false" outlineLevel="0" collapsed="false">
      <c r="A469" s="2" t="s">
        <v>477</v>
      </c>
      <c r="B469" s="2" t="s">
        <v>6</v>
      </c>
      <c r="C469" s="3" t="n">
        <v>5100</v>
      </c>
      <c r="D469" s="2" t="n">
        <v>28</v>
      </c>
      <c r="E469" s="2" t="n">
        <v>28</v>
      </c>
    </row>
    <row r="470" customFormat="false" ht="15" hidden="false" customHeight="false" outlineLevel="0" collapsed="false">
      <c r="A470" s="2" t="s">
        <v>478</v>
      </c>
      <c r="B470" s="2" t="s">
        <v>15</v>
      </c>
      <c r="C470" s="3" t="n">
        <v>8500</v>
      </c>
      <c r="D470" s="2" t="n">
        <v>10</v>
      </c>
      <c r="E470" s="2" t="n">
        <v>10</v>
      </c>
    </row>
    <row r="471" customFormat="false" ht="15" hidden="false" customHeight="false" outlineLevel="0" collapsed="false">
      <c r="A471" s="2" t="s">
        <v>479</v>
      </c>
      <c r="B471" s="2" t="s">
        <v>10</v>
      </c>
      <c r="C471" s="3" t="n">
        <v>7100</v>
      </c>
      <c r="D471" s="2" t="n">
        <v>19</v>
      </c>
      <c r="E471" s="2" t="n">
        <v>19</v>
      </c>
    </row>
    <row r="472" customFormat="false" ht="15" hidden="false" customHeight="false" outlineLevel="0" collapsed="false">
      <c r="A472" s="2" t="s">
        <v>480</v>
      </c>
      <c r="B472" s="2" t="s">
        <v>6</v>
      </c>
      <c r="C472" s="3" t="n">
        <v>10900</v>
      </c>
      <c r="D472" s="2" t="n">
        <v>23</v>
      </c>
      <c r="E472" s="2" t="n">
        <v>23</v>
      </c>
    </row>
    <row r="473" customFormat="false" ht="15" hidden="false" customHeight="false" outlineLevel="0" collapsed="false">
      <c r="A473" s="2" t="s">
        <v>481</v>
      </c>
      <c r="B473" s="2" t="s">
        <v>15</v>
      </c>
      <c r="C473" s="3" t="n">
        <v>8600</v>
      </c>
      <c r="D473" s="2" t="n">
        <v>5</v>
      </c>
      <c r="E473" s="2" t="n">
        <v>5</v>
      </c>
    </row>
    <row r="474" customFormat="false" ht="15" hidden="false" customHeight="false" outlineLevel="0" collapsed="false">
      <c r="A474" s="2" t="s">
        <v>482</v>
      </c>
      <c r="B474" s="2" t="s">
        <v>8</v>
      </c>
      <c r="C474" s="3" t="n">
        <v>5800</v>
      </c>
      <c r="D474" s="2" t="n">
        <v>47</v>
      </c>
      <c r="E474" s="2" t="n">
        <v>47</v>
      </c>
    </row>
    <row r="475" customFormat="false" ht="15" hidden="false" customHeight="false" outlineLevel="0" collapsed="false">
      <c r="A475" s="2" t="s">
        <v>483</v>
      </c>
      <c r="B475" s="2" t="s">
        <v>12</v>
      </c>
      <c r="C475" s="3" t="n">
        <v>9000</v>
      </c>
      <c r="D475" s="2" t="n">
        <v>6</v>
      </c>
      <c r="E475" s="2" t="n">
        <v>6</v>
      </c>
    </row>
    <row r="476" customFormat="false" ht="15" hidden="false" customHeight="false" outlineLevel="0" collapsed="false">
      <c r="A476" s="2" t="s">
        <v>484</v>
      </c>
      <c r="B476" s="2" t="s">
        <v>15</v>
      </c>
      <c r="C476" s="3" t="n">
        <v>4200</v>
      </c>
      <c r="D476" s="2" t="n">
        <v>15</v>
      </c>
      <c r="E476" s="2" t="n">
        <v>35</v>
      </c>
    </row>
    <row r="477" customFormat="false" ht="15" hidden="false" customHeight="false" outlineLevel="0" collapsed="false">
      <c r="A477" s="2" t="s">
        <v>485</v>
      </c>
      <c r="B477" s="2" t="s">
        <v>8</v>
      </c>
      <c r="C477" s="3" t="n">
        <v>12700</v>
      </c>
      <c r="D477" s="2" t="n">
        <v>7</v>
      </c>
      <c r="E477" s="2" t="n">
        <v>7</v>
      </c>
    </row>
    <row r="478" customFormat="false" ht="15" hidden="false" customHeight="false" outlineLevel="0" collapsed="false">
      <c r="A478" s="2" t="s">
        <v>486</v>
      </c>
      <c r="B478" s="2" t="s">
        <v>12</v>
      </c>
      <c r="C478" s="3" t="n">
        <v>15500</v>
      </c>
      <c r="D478" s="2" t="n">
        <v>46</v>
      </c>
      <c r="E478" s="2" t="n">
        <v>46</v>
      </c>
    </row>
    <row r="479" customFormat="false" ht="15" hidden="false" customHeight="false" outlineLevel="0" collapsed="false">
      <c r="A479" s="2" t="s">
        <v>487</v>
      </c>
      <c r="B479" s="2" t="s">
        <v>8</v>
      </c>
      <c r="C479" s="3" t="n">
        <v>4200</v>
      </c>
      <c r="D479" s="2" t="n">
        <v>37</v>
      </c>
      <c r="E479" s="2" t="n">
        <v>37</v>
      </c>
    </row>
    <row r="480" customFormat="false" ht="15" hidden="false" customHeight="false" outlineLevel="0" collapsed="false">
      <c r="A480" s="2" t="s">
        <v>488</v>
      </c>
      <c r="B480" s="2" t="s">
        <v>6</v>
      </c>
      <c r="C480" s="3" t="n">
        <v>10200</v>
      </c>
      <c r="D480" s="2" t="n">
        <v>8</v>
      </c>
      <c r="E480" s="2" t="n">
        <v>8</v>
      </c>
    </row>
    <row r="481" customFormat="false" ht="15" hidden="false" customHeight="false" outlineLevel="0" collapsed="false">
      <c r="A481" s="2" t="s">
        <v>489</v>
      </c>
      <c r="B481" s="2" t="s">
        <v>12</v>
      </c>
      <c r="C481" s="3" t="n">
        <v>4700</v>
      </c>
      <c r="D481" s="2" t="n">
        <v>41</v>
      </c>
      <c r="E481" s="2" t="n">
        <v>41</v>
      </c>
    </row>
    <row r="482" customFormat="false" ht="15" hidden="false" customHeight="false" outlineLevel="0" collapsed="false">
      <c r="A482" s="2" t="s">
        <v>490</v>
      </c>
      <c r="B482" s="2" t="s">
        <v>8</v>
      </c>
      <c r="C482" s="3" t="n">
        <v>14600</v>
      </c>
      <c r="D482" s="2" t="n">
        <v>42</v>
      </c>
      <c r="E482" s="2" t="n">
        <v>42</v>
      </c>
    </row>
    <row r="483" customFormat="false" ht="15" hidden="false" customHeight="false" outlineLevel="0" collapsed="false">
      <c r="A483" s="2" t="s">
        <v>491</v>
      </c>
      <c r="B483" s="2" t="s">
        <v>8</v>
      </c>
      <c r="C483" s="3" t="n">
        <v>13300</v>
      </c>
      <c r="D483" s="2" t="n">
        <v>27</v>
      </c>
      <c r="E483" s="2" t="n">
        <v>27</v>
      </c>
    </row>
    <row r="484" customFormat="false" ht="15" hidden="false" customHeight="false" outlineLevel="0" collapsed="false">
      <c r="A484" s="2" t="s">
        <v>492</v>
      </c>
      <c r="B484" s="2" t="s">
        <v>6</v>
      </c>
      <c r="C484" s="3" t="n">
        <v>7100</v>
      </c>
      <c r="D484" s="2" t="n">
        <v>28</v>
      </c>
      <c r="E484" s="2" t="n">
        <v>28</v>
      </c>
    </row>
    <row r="485" customFormat="false" ht="15" hidden="false" customHeight="false" outlineLevel="0" collapsed="false">
      <c r="A485" s="2" t="s">
        <v>493</v>
      </c>
      <c r="B485" s="2" t="s">
        <v>6</v>
      </c>
      <c r="C485" s="3" t="n">
        <v>14000</v>
      </c>
      <c r="D485" s="2" t="n">
        <v>13</v>
      </c>
      <c r="E485" s="2" t="n">
        <v>13</v>
      </c>
    </row>
    <row r="486" customFormat="false" ht="15" hidden="false" customHeight="false" outlineLevel="0" collapsed="false">
      <c r="A486" s="2" t="s">
        <v>494</v>
      </c>
      <c r="B486" s="2" t="s">
        <v>15</v>
      </c>
      <c r="C486" s="3" t="n">
        <v>6400</v>
      </c>
      <c r="D486" s="2" t="n">
        <v>20</v>
      </c>
      <c r="E486" s="2" t="n">
        <v>20</v>
      </c>
    </row>
    <row r="487" customFormat="false" ht="15" hidden="false" customHeight="false" outlineLevel="0" collapsed="false">
      <c r="A487" s="2" t="s">
        <v>495</v>
      </c>
      <c r="B487" s="2" t="s">
        <v>8</v>
      </c>
      <c r="C487" s="3" t="n">
        <v>5700</v>
      </c>
      <c r="D487" s="2" t="n">
        <v>17</v>
      </c>
      <c r="E487" s="2" t="n">
        <v>17</v>
      </c>
    </row>
    <row r="488" customFormat="false" ht="15" hidden="false" customHeight="false" outlineLevel="0" collapsed="false">
      <c r="A488" s="2" t="s">
        <v>496</v>
      </c>
      <c r="B488" s="2" t="s">
        <v>6</v>
      </c>
      <c r="C488" s="3" t="n">
        <v>5900</v>
      </c>
      <c r="D488" s="2" t="n">
        <v>43</v>
      </c>
      <c r="E488" s="2" t="n">
        <v>43</v>
      </c>
    </row>
    <row r="489" customFormat="false" ht="15" hidden="false" customHeight="false" outlineLevel="0" collapsed="false">
      <c r="A489" s="2" t="s">
        <v>497</v>
      </c>
      <c r="B489" s="2" t="s">
        <v>10</v>
      </c>
      <c r="C489" s="3" t="n">
        <v>7500</v>
      </c>
      <c r="D489" s="2" t="n">
        <v>39</v>
      </c>
      <c r="E489" s="2" t="n">
        <v>39</v>
      </c>
    </row>
    <row r="490" customFormat="false" ht="15" hidden="false" customHeight="false" outlineLevel="0" collapsed="false">
      <c r="A490" s="2" t="s">
        <v>498</v>
      </c>
      <c r="B490" s="2" t="s">
        <v>15</v>
      </c>
      <c r="C490" s="3" t="n">
        <v>6800</v>
      </c>
      <c r="D490" s="2" t="n">
        <v>30</v>
      </c>
      <c r="E490" s="2" t="n">
        <v>30</v>
      </c>
    </row>
    <row r="491" customFormat="false" ht="15" hidden="false" customHeight="false" outlineLevel="0" collapsed="false">
      <c r="A491" s="2" t="s">
        <v>499</v>
      </c>
      <c r="B491" s="2" t="s">
        <v>8</v>
      </c>
      <c r="C491" s="3" t="n">
        <v>8800</v>
      </c>
      <c r="D491" s="2" t="n">
        <v>12</v>
      </c>
      <c r="E491" s="2" t="n">
        <v>12</v>
      </c>
    </row>
    <row r="492" customFormat="false" ht="15" hidden="false" customHeight="false" outlineLevel="0" collapsed="false">
      <c r="A492" s="2" t="s">
        <v>500</v>
      </c>
      <c r="B492" s="2" t="s">
        <v>6</v>
      </c>
      <c r="C492" s="3" t="n">
        <v>5800</v>
      </c>
      <c r="D492" s="2" t="n">
        <v>8</v>
      </c>
      <c r="E492" s="2" t="n">
        <v>48</v>
      </c>
    </row>
    <row r="493" customFormat="false" ht="15" hidden="false" customHeight="false" outlineLevel="0" collapsed="false">
      <c r="A493" s="2" t="s">
        <v>501</v>
      </c>
      <c r="B493" s="2" t="s">
        <v>6</v>
      </c>
      <c r="C493" s="3" t="n">
        <v>12300</v>
      </c>
      <c r="D493" s="2" t="n">
        <v>18</v>
      </c>
      <c r="E493" s="2" t="n">
        <v>18</v>
      </c>
    </row>
    <row r="494" customFormat="false" ht="15" hidden="false" customHeight="false" outlineLevel="0" collapsed="false">
      <c r="A494" s="2" t="s">
        <v>502</v>
      </c>
      <c r="B494" s="2" t="s">
        <v>12</v>
      </c>
      <c r="C494" s="3" t="n">
        <v>14200</v>
      </c>
      <c r="D494" s="2" t="n">
        <v>11</v>
      </c>
      <c r="E494" s="2" t="n">
        <v>11</v>
      </c>
    </row>
    <row r="495" customFormat="false" ht="15" hidden="false" customHeight="false" outlineLevel="0" collapsed="false">
      <c r="A495" s="2" t="s">
        <v>503</v>
      </c>
      <c r="B495" s="2" t="s">
        <v>6</v>
      </c>
      <c r="C495" s="3" t="n">
        <v>6200</v>
      </c>
      <c r="D495" s="2" t="n">
        <v>18</v>
      </c>
      <c r="E495" s="2" t="n">
        <v>18</v>
      </c>
    </row>
    <row r="496" customFormat="false" ht="15" hidden="false" customHeight="false" outlineLevel="0" collapsed="false">
      <c r="A496" s="2" t="s">
        <v>504</v>
      </c>
      <c r="B496" s="2" t="s">
        <v>12</v>
      </c>
      <c r="C496" s="3" t="n">
        <v>3700</v>
      </c>
      <c r="D496" s="2" t="n">
        <v>6</v>
      </c>
      <c r="E496" s="2" t="n">
        <v>6</v>
      </c>
    </row>
    <row r="497" customFormat="false" ht="15" hidden="false" customHeight="false" outlineLevel="0" collapsed="false">
      <c r="A497" s="2" t="s">
        <v>505</v>
      </c>
      <c r="B497" s="2" t="s">
        <v>12</v>
      </c>
      <c r="C497" s="3" t="n">
        <v>12100</v>
      </c>
      <c r="D497" s="2" t="n">
        <v>1</v>
      </c>
      <c r="E497" s="2" t="n">
        <v>1</v>
      </c>
    </row>
    <row r="498" customFormat="false" ht="15" hidden="false" customHeight="false" outlineLevel="0" collapsed="false">
      <c r="A498" s="2" t="s">
        <v>506</v>
      </c>
      <c r="B498" s="2" t="s">
        <v>12</v>
      </c>
      <c r="C498" s="3" t="n">
        <v>15200</v>
      </c>
      <c r="D498" s="2" t="n">
        <v>46</v>
      </c>
      <c r="E498" s="2" t="n">
        <v>46</v>
      </c>
    </row>
    <row r="499" customFormat="false" ht="15" hidden="false" customHeight="false" outlineLevel="0" collapsed="false">
      <c r="A499" s="2" t="s">
        <v>507</v>
      </c>
      <c r="B499" s="2" t="s">
        <v>15</v>
      </c>
      <c r="C499" s="3" t="n">
        <v>7400</v>
      </c>
      <c r="D499" s="2" t="n">
        <v>20</v>
      </c>
      <c r="E499" s="2" t="n">
        <v>20</v>
      </c>
    </row>
    <row r="500" customFormat="false" ht="15" hidden="false" customHeight="false" outlineLevel="0" collapsed="false">
      <c r="A500" s="2" t="s">
        <v>508</v>
      </c>
      <c r="B500" s="2" t="s">
        <v>15</v>
      </c>
      <c r="C500" s="3" t="n">
        <v>4000</v>
      </c>
      <c r="D500" s="2" t="n">
        <v>20</v>
      </c>
      <c r="E500" s="2" t="n">
        <v>50</v>
      </c>
    </row>
    <row r="501" customFormat="false" ht="15" hidden="false" customHeight="false" outlineLevel="0" collapsed="false">
      <c r="A501" s="2" t="s">
        <v>509</v>
      </c>
      <c r="B501" s="2" t="s">
        <v>8</v>
      </c>
      <c r="C501" s="3" t="n">
        <v>9400</v>
      </c>
      <c r="D501" s="2" t="n">
        <v>27</v>
      </c>
      <c r="E501" s="2" t="n">
        <v>27</v>
      </c>
    </row>
    <row r="502" customFormat="false" ht="15" hidden="false" customHeight="false" outlineLevel="0" collapsed="false">
      <c r="A502" s="2" t="s">
        <v>510</v>
      </c>
      <c r="B502" s="2" t="s">
        <v>15</v>
      </c>
      <c r="C502" s="3" t="n">
        <v>18700</v>
      </c>
      <c r="D502" s="2" t="n">
        <v>40</v>
      </c>
      <c r="E502" s="2" t="n">
        <v>40</v>
      </c>
    </row>
    <row r="503" customFormat="false" ht="15" hidden="false" customHeight="false" outlineLevel="0" collapsed="false">
      <c r="A503" s="2" t="s">
        <v>511</v>
      </c>
      <c r="B503" s="2" t="s">
        <v>10</v>
      </c>
      <c r="C503" s="3" t="n">
        <v>2900</v>
      </c>
      <c r="D503" s="2" t="n">
        <v>39</v>
      </c>
      <c r="E503" s="2" t="n">
        <v>34</v>
      </c>
    </row>
    <row r="504" customFormat="false" ht="15" hidden="false" customHeight="false" outlineLevel="0" collapsed="false">
      <c r="A504" s="2" t="s">
        <v>512</v>
      </c>
      <c r="B504" s="2" t="s">
        <v>8</v>
      </c>
      <c r="C504" s="3" t="n">
        <v>10500</v>
      </c>
      <c r="D504" s="2" t="n">
        <v>37</v>
      </c>
      <c r="E504" s="2" t="n">
        <v>37</v>
      </c>
    </row>
    <row r="505" customFormat="false" ht="15" hidden="false" customHeight="false" outlineLevel="0" collapsed="false">
      <c r="A505" s="2" t="s">
        <v>513</v>
      </c>
      <c r="B505" s="2" t="s">
        <v>10</v>
      </c>
      <c r="C505" s="3" t="n">
        <v>6800</v>
      </c>
      <c r="D505" s="2" t="n">
        <v>19</v>
      </c>
      <c r="E505" s="2" t="n">
        <v>19</v>
      </c>
    </row>
    <row r="506" customFormat="false" ht="15" hidden="false" customHeight="false" outlineLevel="0" collapsed="false">
      <c r="A506" s="2" t="s">
        <v>514</v>
      </c>
      <c r="B506" s="2" t="s">
        <v>12</v>
      </c>
      <c r="C506" s="3" t="n">
        <v>5100</v>
      </c>
      <c r="D506" s="2" t="n">
        <v>1</v>
      </c>
      <c r="E506" s="2" t="n">
        <v>31</v>
      </c>
    </row>
    <row r="507" customFormat="false" ht="15" hidden="false" customHeight="false" outlineLevel="0" collapsed="false">
      <c r="A507" s="2" t="s">
        <v>515</v>
      </c>
      <c r="B507" s="2" t="s">
        <v>10</v>
      </c>
      <c r="C507" s="3" t="n">
        <v>10700</v>
      </c>
      <c r="D507" s="2" t="n">
        <v>14</v>
      </c>
      <c r="E507" s="2" t="n">
        <v>14</v>
      </c>
    </row>
    <row r="508" customFormat="false" ht="15" hidden="false" customHeight="false" outlineLevel="0" collapsed="false">
      <c r="A508" s="2" t="s">
        <v>516</v>
      </c>
      <c r="B508" s="2" t="s">
        <v>10</v>
      </c>
      <c r="C508" s="3" t="n">
        <v>4000</v>
      </c>
      <c r="D508" s="2" t="n">
        <v>14</v>
      </c>
      <c r="E508" s="2" t="n">
        <v>14</v>
      </c>
    </row>
    <row r="509" customFormat="false" ht="15" hidden="false" customHeight="false" outlineLevel="0" collapsed="false">
      <c r="A509" s="2" t="s">
        <v>517</v>
      </c>
      <c r="B509" s="2" t="s">
        <v>15</v>
      </c>
      <c r="C509" s="3" t="n">
        <v>9500</v>
      </c>
      <c r="D509" s="2" t="n">
        <v>40</v>
      </c>
      <c r="E509" s="2" t="n">
        <v>40</v>
      </c>
    </row>
    <row r="510" customFormat="false" ht="15" hidden="false" customHeight="false" outlineLevel="0" collapsed="false">
      <c r="A510" s="2" t="s">
        <v>518</v>
      </c>
      <c r="B510" s="2" t="s">
        <v>10</v>
      </c>
      <c r="C510" s="3" t="n">
        <v>16700</v>
      </c>
      <c r="D510" s="2" t="n">
        <v>19</v>
      </c>
      <c r="E510" s="2" t="n">
        <v>19</v>
      </c>
    </row>
    <row r="511" customFormat="false" ht="15" hidden="false" customHeight="false" outlineLevel="0" collapsed="false">
      <c r="A511" s="2" t="s">
        <v>519</v>
      </c>
      <c r="B511" s="2" t="s">
        <v>15</v>
      </c>
      <c r="C511" s="3" t="n">
        <v>8900</v>
      </c>
      <c r="D511" s="2" t="n">
        <v>30</v>
      </c>
      <c r="E511" s="2" t="n">
        <v>30</v>
      </c>
    </row>
    <row r="512" customFormat="false" ht="15" hidden="false" customHeight="false" outlineLevel="0" collapsed="false">
      <c r="A512" s="2" t="s">
        <v>520</v>
      </c>
      <c r="B512" s="2" t="s">
        <v>6</v>
      </c>
      <c r="C512" s="3" t="n">
        <v>5000</v>
      </c>
      <c r="D512" s="2" t="n">
        <v>3</v>
      </c>
      <c r="E512" s="2" t="n">
        <v>48</v>
      </c>
    </row>
    <row r="513" customFormat="false" ht="15" hidden="false" customHeight="false" outlineLevel="0" collapsed="false">
      <c r="A513" s="2" t="s">
        <v>521</v>
      </c>
      <c r="B513" s="2" t="s">
        <v>8</v>
      </c>
      <c r="C513" s="3" t="n">
        <v>3000</v>
      </c>
      <c r="D513" s="2" t="n">
        <v>7</v>
      </c>
      <c r="E513" s="2" t="n">
        <v>7</v>
      </c>
    </row>
    <row r="514" customFormat="false" ht="15" hidden="false" customHeight="false" outlineLevel="0" collapsed="false">
      <c r="A514" s="2" t="s">
        <v>522</v>
      </c>
      <c r="B514" s="2" t="s">
        <v>8</v>
      </c>
      <c r="C514" s="3" t="n">
        <v>4000</v>
      </c>
      <c r="D514" s="2" t="n">
        <v>47</v>
      </c>
      <c r="E514" s="2" t="n">
        <v>47</v>
      </c>
    </row>
    <row r="515" customFormat="false" ht="15" hidden="false" customHeight="false" outlineLevel="0" collapsed="false">
      <c r="A515" s="2" t="s">
        <v>523</v>
      </c>
      <c r="B515" s="2" t="s">
        <v>6</v>
      </c>
      <c r="C515" s="3" t="n">
        <v>2900</v>
      </c>
      <c r="D515" s="2" t="n">
        <v>13</v>
      </c>
      <c r="E515" s="2" t="n">
        <v>13</v>
      </c>
    </row>
    <row r="516" customFormat="false" ht="15" hidden="false" customHeight="false" outlineLevel="0" collapsed="false">
      <c r="A516" s="2" t="s">
        <v>524</v>
      </c>
      <c r="B516" s="2" t="s">
        <v>8</v>
      </c>
      <c r="C516" s="3" t="n">
        <v>19500</v>
      </c>
      <c r="D516" s="2" t="n">
        <v>32</v>
      </c>
      <c r="E516" s="2" t="n">
        <v>32</v>
      </c>
    </row>
    <row r="517" customFormat="false" ht="15" hidden="false" customHeight="false" outlineLevel="0" collapsed="false">
      <c r="A517" s="2" t="s">
        <v>525</v>
      </c>
      <c r="B517" s="2" t="s">
        <v>8</v>
      </c>
      <c r="C517" s="3" t="n">
        <v>7100</v>
      </c>
      <c r="D517" s="2" t="n">
        <v>2</v>
      </c>
      <c r="E517" s="2" t="n">
        <v>22</v>
      </c>
    </row>
    <row r="518" customFormat="false" ht="15" hidden="false" customHeight="false" outlineLevel="0" collapsed="false">
      <c r="A518" s="2" t="s">
        <v>526</v>
      </c>
      <c r="B518" s="2" t="s">
        <v>10</v>
      </c>
      <c r="C518" s="3" t="n">
        <v>4600</v>
      </c>
      <c r="D518" s="2" t="n">
        <v>34</v>
      </c>
      <c r="E518" s="2" t="n">
        <v>34</v>
      </c>
    </row>
    <row r="519" customFormat="false" ht="15" hidden="false" customHeight="false" outlineLevel="0" collapsed="false">
      <c r="A519" s="2" t="s">
        <v>527</v>
      </c>
      <c r="B519" s="2" t="s">
        <v>6</v>
      </c>
      <c r="C519" s="3" t="n">
        <v>4000</v>
      </c>
      <c r="D519" s="2" t="n">
        <v>43</v>
      </c>
      <c r="E519" s="2" t="n">
        <v>43</v>
      </c>
    </row>
    <row r="520" customFormat="false" ht="15" hidden="false" customHeight="false" outlineLevel="0" collapsed="false">
      <c r="A520" s="2" t="s">
        <v>528</v>
      </c>
      <c r="B520" s="2" t="s">
        <v>12</v>
      </c>
      <c r="C520" s="3" t="n">
        <v>4500</v>
      </c>
      <c r="D520" s="2" t="n">
        <v>26</v>
      </c>
      <c r="E520" s="2" t="n">
        <v>26</v>
      </c>
    </row>
    <row r="521" customFormat="false" ht="15" hidden="false" customHeight="false" outlineLevel="0" collapsed="false">
      <c r="A521" s="2" t="s">
        <v>529</v>
      </c>
      <c r="B521" s="2" t="s">
        <v>8</v>
      </c>
      <c r="C521" s="3" t="n">
        <v>6700</v>
      </c>
      <c r="D521" s="2" t="n">
        <v>37</v>
      </c>
      <c r="E521" s="2" t="n">
        <v>37</v>
      </c>
    </row>
    <row r="522" customFormat="false" ht="15" hidden="false" customHeight="false" outlineLevel="0" collapsed="false">
      <c r="A522" s="2" t="s">
        <v>530</v>
      </c>
      <c r="B522" s="2" t="s">
        <v>12</v>
      </c>
      <c r="C522" s="3" t="n">
        <v>4000</v>
      </c>
      <c r="D522" s="2" t="n">
        <v>1</v>
      </c>
      <c r="E522" s="2" t="n">
        <v>21</v>
      </c>
    </row>
    <row r="523" customFormat="false" ht="15" hidden="false" customHeight="false" outlineLevel="0" collapsed="false">
      <c r="A523" s="2" t="s">
        <v>531</v>
      </c>
      <c r="B523" s="2" t="s">
        <v>12</v>
      </c>
      <c r="C523" s="3" t="n">
        <v>20400</v>
      </c>
      <c r="D523" s="2" t="n">
        <v>1</v>
      </c>
      <c r="E523" s="2" t="n">
        <v>1</v>
      </c>
    </row>
    <row r="524" customFormat="false" ht="15" hidden="false" customHeight="false" outlineLevel="0" collapsed="false">
      <c r="A524" s="2" t="s">
        <v>532</v>
      </c>
      <c r="B524" s="2" t="s">
        <v>6</v>
      </c>
      <c r="C524" s="3" t="n">
        <v>5400</v>
      </c>
      <c r="D524" s="2" t="n">
        <v>28</v>
      </c>
      <c r="E524" s="2" t="n">
        <v>28</v>
      </c>
    </row>
    <row r="525" customFormat="false" ht="15" hidden="false" customHeight="false" outlineLevel="0" collapsed="false">
      <c r="A525" s="2" t="s">
        <v>533</v>
      </c>
      <c r="B525" s="2" t="s">
        <v>10</v>
      </c>
      <c r="C525" s="3" t="n">
        <v>5300</v>
      </c>
      <c r="D525" s="2" t="n">
        <v>34</v>
      </c>
      <c r="E525" s="2" t="n">
        <v>34</v>
      </c>
    </row>
    <row r="526" customFormat="false" ht="15" hidden="false" customHeight="false" outlineLevel="0" collapsed="false">
      <c r="A526" s="2" t="s">
        <v>534</v>
      </c>
      <c r="B526" s="2" t="s">
        <v>8</v>
      </c>
      <c r="C526" s="3" t="n">
        <v>9600</v>
      </c>
      <c r="D526" s="2" t="n">
        <v>2</v>
      </c>
      <c r="E526" s="2" t="n">
        <v>2</v>
      </c>
    </row>
    <row r="527" customFormat="false" ht="15" hidden="false" customHeight="false" outlineLevel="0" collapsed="false">
      <c r="A527" s="2" t="s">
        <v>535</v>
      </c>
      <c r="B527" s="2" t="s">
        <v>12</v>
      </c>
      <c r="C527" s="3" t="n">
        <v>18000</v>
      </c>
      <c r="D527" s="2" t="n">
        <v>6</v>
      </c>
      <c r="E527" s="2" t="n">
        <v>6</v>
      </c>
    </row>
    <row r="528" customFormat="false" ht="15" hidden="false" customHeight="false" outlineLevel="0" collapsed="false">
      <c r="A528" s="2" t="s">
        <v>536</v>
      </c>
      <c r="B528" s="2" t="s">
        <v>12</v>
      </c>
      <c r="C528" s="3" t="n">
        <v>16800</v>
      </c>
      <c r="D528" s="2" t="n">
        <v>41</v>
      </c>
      <c r="E528" s="2" t="n">
        <v>41</v>
      </c>
    </row>
    <row r="529" customFormat="false" ht="15" hidden="false" customHeight="false" outlineLevel="0" collapsed="false">
      <c r="A529" s="2" t="s">
        <v>537</v>
      </c>
      <c r="B529" s="2" t="s">
        <v>10</v>
      </c>
      <c r="C529" s="3" t="n">
        <v>6200</v>
      </c>
      <c r="D529" s="2" t="n">
        <v>14</v>
      </c>
      <c r="E529" s="2" t="n">
        <v>14</v>
      </c>
    </row>
    <row r="530" customFormat="false" ht="15" hidden="false" customHeight="false" outlineLevel="0" collapsed="false">
      <c r="A530" s="2" t="s">
        <v>538</v>
      </c>
      <c r="B530" s="2" t="s">
        <v>15</v>
      </c>
      <c r="C530" s="3" t="n">
        <v>9300</v>
      </c>
      <c r="D530" s="2" t="n">
        <v>40</v>
      </c>
      <c r="E530" s="2" t="n">
        <v>40</v>
      </c>
    </row>
    <row r="531" customFormat="false" ht="15" hidden="false" customHeight="false" outlineLevel="0" collapsed="false">
      <c r="A531" s="2" t="s">
        <v>539</v>
      </c>
      <c r="B531" s="2" t="s">
        <v>6</v>
      </c>
      <c r="C531" s="3" t="n">
        <v>8800</v>
      </c>
      <c r="D531" s="2" t="n">
        <v>38</v>
      </c>
      <c r="E531" s="2" t="n">
        <v>38</v>
      </c>
    </row>
    <row r="532" customFormat="false" ht="15" hidden="false" customHeight="false" outlineLevel="0" collapsed="false">
      <c r="A532" s="2" t="s">
        <v>540</v>
      </c>
      <c r="B532" s="2" t="s">
        <v>15</v>
      </c>
      <c r="C532" s="3" t="n">
        <v>10800</v>
      </c>
      <c r="D532" s="2" t="n">
        <v>35</v>
      </c>
      <c r="E532" s="2" t="n">
        <v>35</v>
      </c>
    </row>
    <row r="533" customFormat="false" ht="15" hidden="false" customHeight="false" outlineLevel="0" collapsed="false">
      <c r="A533" s="2" t="s">
        <v>541</v>
      </c>
      <c r="B533" s="2" t="s">
        <v>8</v>
      </c>
      <c r="C533" s="3" t="n">
        <v>9300</v>
      </c>
      <c r="D533" s="2" t="n">
        <v>32</v>
      </c>
      <c r="E533" s="2" t="n">
        <v>32</v>
      </c>
    </row>
    <row r="534" customFormat="false" ht="15" hidden="false" customHeight="false" outlineLevel="0" collapsed="false">
      <c r="A534" s="2" t="s">
        <v>542</v>
      </c>
      <c r="B534" s="2" t="s">
        <v>6</v>
      </c>
      <c r="C534" s="3" t="n">
        <v>4800</v>
      </c>
      <c r="D534" s="2" t="n">
        <v>8</v>
      </c>
      <c r="E534" s="2" t="n">
        <v>48</v>
      </c>
    </row>
    <row r="535" customFormat="false" ht="15" hidden="false" customHeight="false" outlineLevel="0" collapsed="false">
      <c r="A535" s="2" t="s">
        <v>543</v>
      </c>
      <c r="B535" s="2" t="s">
        <v>12</v>
      </c>
      <c r="C535" s="3" t="n">
        <v>4100</v>
      </c>
      <c r="D535" s="2" t="n">
        <v>36</v>
      </c>
      <c r="E535" s="2" t="n">
        <v>36</v>
      </c>
    </row>
    <row r="536" customFormat="false" ht="15" hidden="false" customHeight="false" outlineLevel="0" collapsed="false">
      <c r="A536" s="2" t="s">
        <v>544</v>
      </c>
      <c r="B536" s="2" t="s">
        <v>10</v>
      </c>
      <c r="C536" s="3" t="n">
        <v>8900</v>
      </c>
      <c r="D536" s="2" t="n">
        <v>29</v>
      </c>
      <c r="E536" s="2" t="n">
        <v>29</v>
      </c>
    </row>
    <row r="537" customFormat="false" ht="15" hidden="false" customHeight="false" outlineLevel="0" collapsed="false">
      <c r="A537" s="2" t="s">
        <v>545</v>
      </c>
      <c r="B537" s="2" t="s">
        <v>8</v>
      </c>
      <c r="C537" s="3" t="n">
        <v>4200</v>
      </c>
      <c r="D537" s="2" t="n">
        <v>7</v>
      </c>
      <c r="E537" s="2" t="n">
        <v>7</v>
      </c>
    </row>
    <row r="538" customFormat="false" ht="15" hidden="false" customHeight="false" outlineLevel="0" collapsed="false">
      <c r="A538" s="2" t="s">
        <v>546</v>
      </c>
      <c r="B538" s="2" t="s">
        <v>8</v>
      </c>
      <c r="C538" s="3" t="n">
        <v>17200</v>
      </c>
      <c r="D538" s="2" t="n">
        <v>12</v>
      </c>
      <c r="E538" s="2" t="n">
        <v>12</v>
      </c>
    </row>
    <row r="539" customFormat="false" ht="15" hidden="false" customHeight="false" outlineLevel="0" collapsed="false">
      <c r="A539" s="2" t="s">
        <v>547</v>
      </c>
      <c r="B539" s="2" t="s">
        <v>6</v>
      </c>
      <c r="C539" s="3" t="n">
        <v>8300</v>
      </c>
      <c r="D539" s="2" t="n">
        <v>28</v>
      </c>
      <c r="E539" s="2" t="n">
        <v>28</v>
      </c>
    </row>
    <row r="540" customFormat="false" ht="15" hidden="false" customHeight="false" outlineLevel="0" collapsed="false">
      <c r="A540" s="2" t="s">
        <v>548</v>
      </c>
      <c r="B540" s="2" t="s">
        <v>10</v>
      </c>
      <c r="C540" s="3" t="n">
        <v>4600</v>
      </c>
      <c r="D540" s="2" t="n">
        <v>44</v>
      </c>
      <c r="E540" s="2" t="n">
        <v>44</v>
      </c>
    </row>
    <row r="541" customFormat="false" ht="15" hidden="false" customHeight="false" outlineLevel="0" collapsed="false">
      <c r="A541" s="2" t="s">
        <v>549</v>
      </c>
      <c r="B541" s="2" t="s">
        <v>12</v>
      </c>
      <c r="C541" s="3" t="n">
        <v>6800</v>
      </c>
      <c r="D541" s="2" t="n">
        <v>16</v>
      </c>
      <c r="E541" s="2" t="n">
        <v>16</v>
      </c>
    </row>
    <row r="542" customFormat="false" ht="15" hidden="false" customHeight="false" outlineLevel="0" collapsed="false">
      <c r="A542" s="2" t="s">
        <v>550</v>
      </c>
      <c r="B542" s="2" t="s">
        <v>6</v>
      </c>
      <c r="C542" s="3" t="n">
        <v>6100</v>
      </c>
      <c r="D542" s="2" t="n">
        <v>8</v>
      </c>
      <c r="E542" s="2" t="n">
        <v>33</v>
      </c>
    </row>
    <row r="543" customFormat="false" ht="15" hidden="false" customHeight="false" outlineLevel="0" collapsed="false">
      <c r="A543" s="2" t="s">
        <v>551</v>
      </c>
      <c r="B543" s="2" t="s">
        <v>6</v>
      </c>
      <c r="C543" s="3" t="n">
        <v>7500</v>
      </c>
      <c r="D543" s="2" t="n">
        <v>48</v>
      </c>
      <c r="E543" s="2" t="n">
        <v>48</v>
      </c>
    </row>
    <row r="544" customFormat="false" ht="15" hidden="false" customHeight="false" outlineLevel="0" collapsed="false">
      <c r="A544" s="2" t="s">
        <v>552</v>
      </c>
      <c r="B544" s="2" t="s">
        <v>6</v>
      </c>
      <c r="C544" s="3" t="n">
        <v>13600</v>
      </c>
      <c r="D544" s="2" t="n">
        <v>18</v>
      </c>
      <c r="E544" s="2" t="n">
        <v>18</v>
      </c>
    </row>
    <row r="545" customFormat="false" ht="15" hidden="false" customHeight="false" outlineLevel="0" collapsed="false">
      <c r="A545" s="2" t="s">
        <v>553</v>
      </c>
      <c r="B545" s="2" t="s">
        <v>15</v>
      </c>
      <c r="C545" s="3" t="n">
        <v>3700</v>
      </c>
      <c r="D545" s="2" t="n">
        <v>25</v>
      </c>
      <c r="E545" s="2" t="n">
        <v>25</v>
      </c>
    </row>
    <row r="546" customFormat="false" ht="15" hidden="false" customHeight="false" outlineLevel="0" collapsed="false">
      <c r="A546" s="2" t="s">
        <v>554</v>
      </c>
      <c r="B546" s="2" t="s">
        <v>6</v>
      </c>
      <c r="C546" s="3" t="n">
        <v>2900</v>
      </c>
      <c r="D546" s="2" t="n">
        <v>28</v>
      </c>
      <c r="E546" s="2" t="n">
        <v>28</v>
      </c>
    </row>
    <row r="547" customFormat="false" ht="15" hidden="false" customHeight="false" outlineLevel="0" collapsed="false">
      <c r="A547" s="2" t="s">
        <v>555</v>
      </c>
      <c r="B547" s="2" t="s">
        <v>8</v>
      </c>
      <c r="C547" s="3" t="n">
        <v>9800</v>
      </c>
      <c r="D547" s="2" t="n">
        <v>7</v>
      </c>
      <c r="E547" s="2" t="n">
        <v>7</v>
      </c>
    </row>
    <row r="548" customFormat="false" ht="15" hidden="false" customHeight="false" outlineLevel="0" collapsed="false">
      <c r="A548" s="2" t="s">
        <v>556</v>
      </c>
      <c r="B548" s="2" t="s">
        <v>12</v>
      </c>
      <c r="C548" s="3" t="n">
        <v>7400</v>
      </c>
      <c r="D548" s="2" t="n">
        <v>11</v>
      </c>
      <c r="E548" s="2" t="n">
        <v>11</v>
      </c>
    </row>
    <row r="549" customFormat="false" ht="15" hidden="false" customHeight="false" outlineLevel="0" collapsed="false">
      <c r="A549" s="2" t="s">
        <v>557</v>
      </c>
      <c r="B549" s="2" t="s">
        <v>6</v>
      </c>
      <c r="C549" s="3" t="n">
        <v>8900</v>
      </c>
      <c r="D549" s="2" t="n">
        <v>8</v>
      </c>
      <c r="E549" s="2" t="n">
        <v>8</v>
      </c>
    </row>
    <row r="550" customFormat="false" ht="15" hidden="false" customHeight="false" outlineLevel="0" collapsed="false">
      <c r="A550" s="2" t="s">
        <v>558</v>
      </c>
      <c r="B550" s="2" t="s">
        <v>8</v>
      </c>
      <c r="C550" s="3" t="n">
        <v>10300</v>
      </c>
      <c r="D550" s="2" t="n">
        <v>17</v>
      </c>
      <c r="E550" s="2" t="n">
        <v>17</v>
      </c>
    </row>
    <row r="551" customFormat="false" ht="15" hidden="false" customHeight="false" outlineLevel="0" collapsed="false">
      <c r="A551" s="2" t="s">
        <v>559</v>
      </c>
      <c r="B551" s="2" t="s">
        <v>6</v>
      </c>
      <c r="C551" s="3" t="n">
        <v>7300</v>
      </c>
      <c r="D551" s="2" t="n">
        <v>28</v>
      </c>
      <c r="E551" s="2" t="n">
        <v>28</v>
      </c>
    </row>
    <row r="552" customFormat="false" ht="15" hidden="false" customHeight="false" outlineLevel="0" collapsed="false">
      <c r="A552" s="2" t="s">
        <v>560</v>
      </c>
      <c r="B552" s="2" t="s">
        <v>8</v>
      </c>
      <c r="C552" s="3" t="n">
        <v>12600</v>
      </c>
      <c r="D552" s="2" t="n">
        <v>12</v>
      </c>
      <c r="E552" s="2" t="n">
        <v>12</v>
      </c>
    </row>
    <row r="553" customFormat="false" ht="15" hidden="false" customHeight="false" outlineLevel="0" collapsed="false">
      <c r="A553" s="2" t="s">
        <v>561</v>
      </c>
      <c r="B553" s="2" t="s">
        <v>12</v>
      </c>
      <c r="C553" s="3" t="n">
        <v>5000</v>
      </c>
      <c r="D553" s="2" t="n">
        <v>11</v>
      </c>
      <c r="E553" s="2" t="n">
        <v>36</v>
      </c>
    </row>
    <row r="554" customFormat="false" ht="15" hidden="false" customHeight="false" outlineLevel="0" collapsed="false">
      <c r="A554" s="2" t="s">
        <v>562</v>
      </c>
      <c r="B554" s="2" t="s">
        <v>6</v>
      </c>
      <c r="C554" s="3" t="n">
        <v>8400</v>
      </c>
      <c r="D554" s="2" t="n">
        <v>13</v>
      </c>
      <c r="E554" s="2" t="n">
        <v>13</v>
      </c>
    </row>
    <row r="555" customFormat="false" ht="15" hidden="false" customHeight="false" outlineLevel="0" collapsed="false">
      <c r="A555" s="2" t="s">
        <v>563</v>
      </c>
      <c r="B555" s="2" t="s">
        <v>10</v>
      </c>
      <c r="C555" s="3" t="n">
        <v>5100</v>
      </c>
      <c r="D555" s="2" t="n">
        <v>39</v>
      </c>
      <c r="E555" s="2" t="n">
        <v>34</v>
      </c>
    </row>
    <row r="556" customFormat="false" ht="15" hidden="false" customHeight="false" outlineLevel="0" collapsed="false">
      <c r="A556" s="2" t="s">
        <v>564</v>
      </c>
      <c r="B556" s="2" t="s">
        <v>12</v>
      </c>
      <c r="C556" s="3" t="n">
        <v>4400</v>
      </c>
      <c r="D556" s="2" t="n">
        <v>11</v>
      </c>
      <c r="E556" s="2" t="n">
        <v>31</v>
      </c>
    </row>
    <row r="557" customFormat="false" ht="15" hidden="false" customHeight="false" outlineLevel="0" collapsed="false">
      <c r="A557" s="2" t="s">
        <v>565</v>
      </c>
      <c r="B557" s="2" t="s">
        <v>10</v>
      </c>
      <c r="C557" s="3" t="n">
        <v>11400</v>
      </c>
      <c r="D557" s="2" t="n">
        <v>39</v>
      </c>
      <c r="E557" s="2" t="n">
        <v>39</v>
      </c>
    </row>
    <row r="558" customFormat="false" ht="15" hidden="false" customHeight="false" outlineLevel="0" collapsed="false">
      <c r="A558" s="2" t="s">
        <v>566</v>
      </c>
      <c r="B558" s="2" t="s">
        <v>6</v>
      </c>
      <c r="C558" s="3" t="n">
        <v>11100</v>
      </c>
      <c r="D558" s="2" t="n">
        <v>3</v>
      </c>
      <c r="E558" s="2" t="n">
        <v>3</v>
      </c>
    </row>
    <row r="559" customFormat="false" ht="15" hidden="false" customHeight="false" outlineLevel="0" collapsed="false">
      <c r="A559" s="2" t="s">
        <v>567</v>
      </c>
      <c r="B559" s="2" t="s">
        <v>15</v>
      </c>
      <c r="C559" s="3" t="n">
        <v>2800</v>
      </c>
      <c r="D559" s="2" t="n">
        <v>45</v>
      </c>
      <c r="E559" s="2" t="n">
        <v>45</v>
      </c>
    </row>
    <row r="560" customFormat="false" ht="15" hidden="false" customHeight="false" outlineLevel="0" collapsed="false">
      <c r="A560" s="2" t="s">
        <v>568</v>
      </c>
      <c r="B560" s="2" t="s">
        <v>8</v>
      </c>
      <c r="C560" s="3" t="n">
        <v>4400</v>
      </c>
      <c r="D560" s="2" t="n">
        <v>47</v>
      </c>
      <c r="E560" s="2" t="n">
        <v>47</v>
      </c>
    </row>
    <row r="561" customFormat="false" ht="15" hidden="false" customHeight="false" outlineLevel="0" collapsed="false">
      <c r="A561" s="2" t="s">
        <v>569</v>
      </c>
      <c r="B561" s="2" t="s">
        <v>8</v>
      </c>
      <c r="C561" s="3" t="n">
        <v>9500</v>
      </c>
      <c r="D561" s="2" t="n">
        <v>17</v>
      </c>
      <c r="E561" s="2" t="n">
        <v>17</v>
      </c>
    </row>
    <row r="562" customFormat="false" ht="15" hidden="false" customHeight="false" outlineLevel="0" collapsed="false">
      <c r="A562" s="2" t="s">
        <v>570</v>
      </c>
      <c r="B562" s="2" t="s">
        <v>15</v>
      </c>
      <c r="C562" s="3" t="n">
        <v>14600</v>
      </c>
      <c r="D562" s="2" t="n">
        <v>25</v>
      </c>
      <c r="E562" s="2" t="n">
        <v>25</v>
      </c>
    </row>
    <row r="563" customFormat="false" ht="15" hidden="false" customHeight="false" outlineLevel="0" collapsed="false">
      <c r="A563" s="2" t="s">
        <v>571</v>
      </c>
      <c r="B563" s="2" t="s">
        <v>12</v>
      </c>
      <c r="C563" s="3" t="n">
        <v>5600</v>
      </c>
      <c r="D563" s="2" t="n">
        <v>31</v>
      </c>
      <c r="E563" s="2" t="n">
        <v>31</v>
      </c>
    </row>
    <row r="564" customFormat="false" ht="15" hidden="false" customHeight="false" outlineLevel="0" collapsed="false">
      <c r="A564" s="2" t="s">
        <v>572</v>
      </c>
      <c r="B564" s="2" t="s">
        <v>12</v>
      </c>
      <c r="C564" s="3" t="n">
        <v>7300</v>
      </c>
      <c r="D564" s="2" t="n">
        <v>41</v>
      </c>
      <c r="E564" s="2" t="n">
        <v>41</v>
      </c>
    </row>
    <row r="565" customFormat="false" ht="15" hidden="false" customHeight="false" outlineLevel="0" collapsed="false">
      <c r="A565" s="2" t="s">
        <v>573</v>
      </c>
      <c r="B565" s="2" t="s">
        <v>6</v>
      </c>
      <c r="C565" s="3" t="n">
        <v>3700</v>
      </c>
      <c r="D565" s="2" t="n">
        <v>8</v>
      </c>
      <c r="E565" s="2" t="n">
        <v>48</v>
      </c>
    </row>
    <row r="566" customFormat="false" ht="15" hidden="false" customHeight="false" outlineLevel="0" collapsed="false">
      <c r="A566" s="2" t="s">
        <v>574</v>
      </c>
      <c r="B566" s="2" t="s">
        <v>12</v>
      </c>
      <c r="C566" s="3" t="n">
        <v>32200</v>
      </c>
      <c r="D566" s="2" t="n">
        <v>21</v>
      </c>
      <c r="E566" s="2" t="n">
        <v>21</v>
      </c>
    </row>
    <row r="567" customFormat="false" ht="15" hidden="false" customHeight="false" outlineLevel="0" collapsed="false">
      <c r="A567" s="2" t="s">
        <v>575</v>
      </c>
      <c r="B567" s="2" t="s">
        <v>8</v>
      </c>
      <c r="C567" s="3" t="n">
        <v>10500</v>
      </c>
      <c r="D567" s="2" t="n">
        <v>42</v>
      </c>
      <c r="E567" s="2" t="n">
        <v>42</v>
      </c>
    </row>
    <row r="568" customFormat="false" ht="15" hidden="false" customHeight="false" outlineLevel="0" collapsed="false">
      <c r="A568" s="2" t="s">
        <v>576</v>
      </c>
      <c r="B568" s="2" t="s">
        <v>10</v>
      </c>
      <c r="C568" s="3" t="n">
        <v>13300</v>
      </c>
      <c r="D568" s="2" t="n">
        <v>34</v>
      </c>
      <c r="E568" s="2" t="n">
        <v>34</v>
      </c>
    </row>
    <row r="569" customFormat="false" ht="15" hidden="false" customHeight="false" outlineLevel="0" collapsed="false">
      <c r="A569" s="2" t="s">
        <v>577</v>
      </c>
      <c r="B569" s="2" t="s">
        <v>15</v>
      </c>
      <c r="C569" s="3" t="n">
        <v>11600</v>
      </c>
      <c r="D569" s="2" t="n">
        <v>15</v>
      </c>
      <c r="E569" s="2" t="n">
        <v>15</v>
      </c>
    </row>
    <row r="570" customFormat="false" ht="15" hidden="false" customHeight="false" outlineLevel="0" collapsed="false">
      <c r="A570" s="2" t="s">
        <v>578</v>
      </c>
      <c r="B570" s="2" t="s">
        <v>12</v>
      </c>
      <c r="C570" s="3" t="n">
        <v>13500</v>
      </c>
      <c r="D570" s="2" t="n">
        <v>11</v>
      </c>
      <c r="E570" s="2" t="n">
        <v>11</v>
      </c>
    </row>
    <row r="571" customFormat="false" ht="15" hidden="false" customHeight="false" outlineLevel="0" collapsed="false">
      <c r="A571" s="2" t="s">
        <v>579</v>
      </c>
      <c r="B571" s="2" t="s">
        <v>10</v>
      </c>
      <c r="C571" s="3" t="n">
        <v>11300</v>
      </c>
      <c r="D571" s="2" t="n">
        <v>14</v>
      </c>
      <c r="E571" s="2" t="n">
        <v>14</v>
      </c>
    </row>
    <row r="572" customFormat="false" ht="15" hidden="false" customHeight="false" outlineLevel="0" collapsed="false">
      <c r="A572" s="2" t="s">
        <v>580</v>
      </c>
      <c r="B572" s="2" t="s">
        <v>12</v>
      </c>
      <c r="C572" s="3" t="n">
        <v>6700</v>
      </c>
      <c r="D572" s="2" t="n">
        <v>6</v>
      </c>
      <c r="E572" s="2" t="n">
        <v>6</v>
      </c>
    </row>
    <row r="573" customFormat="false" ht="15" hidden="false" customHeight="false" outlineLevel="0" collapsed="false">
      <c r="A573" s="2" t="s">
        <v>581</v>
      </c>
      <c r="B573" s="2" t="s">
        <v>6</v>
      </c>
      <c r="C573" s="3" t="n">
        <v>12200</v>
      </c>
      <c r="D573" s="2" t="n">
        <v>13</v>
      </c>
      <c r="E573" s="2" t="n">
        <v>13</v>
      </c>
    </row>
    <row r="574" customFormat="false" ht="15" hidden="false" customHeight="false" outlineLevel="0" collapsed="false">
      <c r="A574" s="2" t="s">
        <v>582</v>
      </c>
      <c r="B574" s="2" t="s">
        <v>6</v>
      </c>
      <c r="C574" s="3" t="n">
        <v>8500</v>
      </c>
      <c r="D574" s="2" t="n">
        <v>3</v>
      </c>
      <c r="E574" s="2" t="n">
        <v>3</v>
      </c>
    </row>
    <row r="575" customFormat="false" ht="15" hidden="false" customHeight="false" outlineLevel="0" collapsed="false">
      <c r="A575" s="2" t="s">
        <v>583</v>
      </c>
      <c r="B575" s="2" t="s">
        <v>8</v>
      </c>
      <c r="C575" s="3" t="n">
        <v>16500</v>
      </c>
      <c r="D575" s="2" t="n">
        <v>7</v>
      </c>
      <c r="E575" s="2" t="n">
        <v>7</v>
      </c>
    </row>
    <row r="576" customFormat="false" ht="15" hidden="false" customHeight="false" outlineLevel="0" collapsed="false">
      <c r="A576" s="2" t="s">
        <v>584</v>
      </c>
      <c r="B576" s="2" t="s">
        <v>12</v>
      </c>
      <c r="C576" s="3" t="n">
        <v>5400</v>
      </c>
      <c r="D576" s="2" t="n">
        <v>26</v>
      </c>
      <c r="E576" s="2" t="n">
        <v>26</v>
      </c>
    </row>
    <row r="577" customFormat="false" ht="15" hidden="false" customHeight="false" outlineLevel="0" collapsed="false">
      <c r="A577" s="2" t="s">
        <v>585</v>
      </c>
      <c r="B577" s="2" t="s">
        <v>15</v>
      </c>
      <c r="C577" s="3" t="n">
        <v>6000</v>
      </c>
      <c r="D577" s="2" t="n">
        <v>50</v>
      </c>
      <c r="E577" s="2" t="n">
        <v>50</v>
      </c>
    </row>
    <row r="578" customFormat="false" ht="15" hidden="false" customHeight="false" outlineLevel="0" collapsed="false">
      <c r="A578" s="2" t="s">
        <v>586</v>
      </c>
      <c r="B578" s="2" t="s">
        <v>15</v>
      </c>
      <c r="C578" s="3" t="n">
        <v>11700</v>
      </c>
      <c r="D578" s="2" t="n">
        <v>15</v>
      </c>
      <c r="E578" s="2" t="n">
        <v>15</v>
      </c>
    </row>
    <row r="579" customFormat="false" ht="15" hidden="false" customHeight="false" outlineLevel="0" collapsed="false">
      <c r="A579" s="2" t="s">
        <v>587</v>
      </c>
      <c r="B579" s="2" t="s">
        <v>8</v>
      </c>
      <c r="C579" s="3" t="n">
        <v>16400</v>
      </c>
      <c r="D579" s="2" t="n">
        <v>17</v>
      </c>
      <c r="E579" s="2" t="n">
        <v>17</v>
      </c>
    </row>
    <row r="580" customFormat="false" ht="15" hidden="false" customHeight="false" outlineLevel="0" collapsed="false">
      <c r="A580" s="2" t="s">
        <v>588</v>
      </c>
      <c r="B580" s="2" t="s">
        <v>15</v>
      </c>
      <c r="C580" s="3" t="n">
        <v>8800</v>
      </c>
      <c r="D580" s="2" t="n">
        <v>15</v>
      </c>
      <c r="E580" s="2" t="n">
        <v>15</v>
      </c>
    </row>
    <row r="581" customFormat="false" ht="15" hidden="false" customHeight="false" outlineLevel="0" collapsed="false">
      <c r="A581" s="2" t="s">
        <v>589</v>
      </c>
      <c r="B581" s="2" t="s">
        <v>10</v>
      </c>
      <c r="C581" s="3" t="n">
        <v>5500</v>
      </c>
      <c r="D581" s="2" t="n">
        <v>49</v>
      </c>
      <c r="E581" s="2" t="n">
        <v>49</v>
      </c>
    </row>
    <row r="582" customFormat="false" ht="15" hidden="false" customHeight="false" outlineLevel="0" collapsed="false">
      <c r="A582" s="2" t="s">
        <v>590</v>
      </c>
      <c r="B582" s="2" t="s">
        <v>6</v>
      </c>
      <c r="C582" s="3" t="n">
        <v>7600</v>
      </c>
      <c r="D582" s="2" t="n">
        <v>43</v>
      </c>
      <c r="E582" s="2" t="n">
        <v>43</v>
      </c>
    </row>
    <row r="583" customFormat="false" ht="15" hidden="false" customHeight="false" outlineLevel="0" collapsed="false">
      <c r="A583" s="2" t="s">
        <v>591</v>
      </c>
      <c r="B583" s="2" t="s">
        <v>10</v>
      </c>
      <c r="C583" s="3" t="n">
        <v>6200</v>
      </c>
      <c r="D583" s="2" t="n">
        <v>49</v>
      </c>
      <c r="E583" s="2" t="n">
        <v>49</v>
      </c>
    </row>
    <row r="584" customFormat="false" ht="15" hidden="false" customHeight="false" outlineLevel="0" collapsed="false">
      <c r="A584" s="2" t="s">
        <v>592</v>
      </c>
      <c r="B584" s="2" t="s">
        <v>8</v>
      </c>
      <c r="C584" s="3" t="n">
        <v>23000</v>
      </c>
      <c r="D584" s="2" t="n">
        <v>42</v>
      </c>
      <c r="E584" s="2" t="n">
        <v>42</v>
      </c>
    </row>
    <row r="585" customFormat="false" ht="15" hidden="false" customHeight="false" outlineLevel="0" collapsed="false">
      <c r="A585" s="2" t="s">
        <v>593</v>
      </c>
      <c r="B585" s="2" t="s">
        <v>6</v>
      </c>
      <c r="C585" s="3" t="n">
        <v>13300</v>
      </c>
      <c r="D585" s="2" t="n">
        <v>33</v>
      </c>
      <c r="E585" s="2" t="n">
        <v>33</v>
      </c>
    </row>
    <row r="586" customFormat="false" ht="15" hidden="false" customHeight="false" outlineLevel="0" collapsed="false">
      <c r="A586" s="2" t="s">
        <v>594</v>
      </c>
      <c r="B586" s="2" t="s">
        <v>15</v>
      </c>
      <c r="C586" s="3" t="n">
        <v>16200</v>
      </c>
      <c r="D586" s="2" t="n">
        <v>35</v>
      </c>
      <c r="E586" s="2" t="n">
        <v>35</v>
      </c>
    </row>
    <row r="587" customFormat="false" ht="15" hidden="false" customHeight="false" outlineLevel="0" collapsed="false">
      <c r="A587" s="2" t="s">
        <v>595</v>
      </c>
      <c r="B587" s="2" t="s">
        <v>8</v>
      </c>
      <c r="C587" s="3" t="n">
        <v>9600</v>
      </c>
      <c r="D587" s="2" t="n">
        <v>7</v>
      </c>
      <c r="E587" s="2" t="n">
        <v>7</v>
      </c>
    </row>
    <row r="588" customFormat="false" ht="15" hidden="false" customHeight="false" outlineLevel="0" collapsed="false">
      <c r="A588" s="2" t="s">
        <v>596</v>
      </c>
      <c r="B588" s="2" t="s">
        <v>12</v>
      </c>
      <c r="C588" s="3" t="n">
        <v>6000</v>
      </c>
      <c r="D588" s="2" t="n">
        <v>11</v>
      </c>
      <c r="E588" s="2" t="n">
        <v>21</v>
      </c>
    </row>
    <row r="589" customFormat="false" ht="15" hidden="false" customHeight="false" outlineLevel="0" collapsed="false">
      <c r="A589" s="2" t="s">
        <v>597</v>
      </c>
      <c r="B589" s="2" t="s">
        <v>15</v>
      </c>
      <c r="C589" s="3" t="n">
        <v>15400</v>
      </c>
      <c r="D589" s="2" t="n">
        <v>30</v>
      </c>
      <c r="E589" s="2" t="n">
        <v>30</v>
      </c>
    </row>
    <row r="590" customFormat="false" ht="15" hidden="false" customHeight="false" outlineLevel="0" collapsed="false">
      <c r="A590" s="2" t="s">
        <v>598</v>
      </c>
      <c r="B590" s="2" t="s">
        <v>10</v>
      </c>
      <c r="C590" s="3" t="n">
        <v>20100</v>
      </c>
      <c r="D590" s="2" t="n">
        <v>19</v>
      </c>
      <c r="E590" s="2" t="n">
        <v>19</v>
      </c>
    </row>
    <row r="591" customFormat="false" ht="15" hidden="false" customHeight="false" outlineLevel="0" collapsed="false">
      <c r="A591" s="2" t="s">
        <v>599</v>
      </c>
      <c r="B591" s="2" t="s">
        <v>15</v>
      </c>
      <c r="C591" s="3" t="n">
        <v>11200</v>
      </c>
      <c r="D591" s="2" t="n">
        <v>15</v>
      </c>
      <c r="E591" s="2" t="n">
        <v>15</v>
      </c>
    </row>
    <row r="592" customFormat="false" ht="15" hidden="false" customHeight="false" outlineLevel="0" collapsed="false">
      <c r="A592" s="2" t="s">
        <v>600</v>
      </c>
      <c r="B592" s="2" t="s">
        <v>8</v>
      </c>
      <c r="C592" s="3" t="n">
        <v>8000</v>
      </c>
      <c r="D592" s="2" t="n">
        <v>2</v>
      </c>
      <c r="E592" s="2" t="n">
        <v>2</v>
      </c>
    </row>
    <row r="593" customFormat="false" ht="15" hidden="false" customHeight="false" outlineLevel="0" collapsed="false">
      <c r="A593" s="2" t="s">
        <v>601</v>
      </c>
      <c r="B593" s="2" t="s">
        <v>15</v>
      </c>
      <c r="C593" s="3" t="n">
        <v>14700</v>
      </c>
      <c r="D593" s="2" t="n">
        <v>20</v>
      </c>
      <c r="E593" s="2" t="n">
        <v>20</v>
      </c>
    </row>
    <row r="594" customFormat="false" ht="15" hidden="false" customHeight="false" outlineLevel="0" collapsed="false">
      <c r="A594" s="2" t="s">
        <v>602</v>
      </c>
      <c r="B594" s="2" t="s">
        <v>15</v>
      </c>
      <c r="C594" s="3" t="n">
        <v>6600</v>
      </c>
      <c r="D594" s="2" t="n">
        <v>30</v>
      </c>
      <c r="E594" s="2" t="n">
        <v>30</v>
      </c>
    </row>
    <row r="595" customFormat="false" ht="15" hidden="false" customHeight="false" outlineLevel="0" collapsed="false">
      <c r="A595" s="2" t="s">
        <v>603</v>
      </c>
      <c r="B595" s="2" t="s">
        <v>15</v>
      </c>
      <c r="C595" s="3" t="n">
        <v>12300</v>
      </c>
      <c r="D595" s="2" t="n">
        <v>5</v>
      </c>
      <c r="E595" s="2" t="n">
        <v>5</v>
      </c>
    </row>
    <row r="596" customFormat="false" ht="15" hidden="false" customHeight="false" outlineLevel="0" collapsed="false">
      <c r="A596" s="2" t="s">
        <v>604</v>
      </c>
      <c r="B596" s="2" t="s">
        <v>12</v>
      </c>
      <c r="C596" s="3" t="n">
        <v>5500</v>
      </c>
      <c r="D596" s="2" t="n">
        <v>1</v>
      </c>
      <c r="E596" s="2" t="n">
        <v>21</v>
      </c>
    </row>
    <row r="597" customFormat="false" ht="15" hidden="false" customHeight="false" outlineLevel="0" collapsed="false">
      <c r="A597" s="2" t="s">
        <v>605</v>
      </c>
      <c r="B597" s="2" t="s">
        <v>15</v>
      </c>
      <c r="C597" s="3" t="n">
        <v>4800</v>
      </c>
      <c r="D597" s="2" t="n">
        <v>25</v>
      </c>
      <c r="E597" s="2" t="n">
        <v>25</v>
      </c>
    </row>
    <row r="598" customFormat="false" ht="15" hidden="false" customHeight="false" outlineLevel="0" collapsed="false">
      <c r="A598" s="2" t="s">
        <v>606</v>
      </c>
      <c r="B598" s="2" t="s">
        <v>8</v>
      </c>
      <c r="C598" s="3" t="n">
        <v>11100</v>
      </c>
      <c r="D598" s="2" t="n">
        <v>12</v>
      </c>
      <c r="E598" s="2" t="n">
        <v>12</v>
      </c>
    </row>
    <row r="599" customFormat="false" ht="15" hidden="false" customHeight="false" outlineLevel="0" collapsed="false">
      <c r="A599" s="2" t="s">
        <v>607</v>
      </c>
      <c r="B599" s="2" t="s">
        <v>12</v>
      </c>
      <c r="C599" s="3" t="n">
        <v>9800</v>
      </c>
      <c r="D599" s="2" t="n">
        <v>21</v>
      </c>
      <c r="E599" s="2" t="n">
        <v>21</v>
      </c>
    </row>
    <row r="600" customFormat="false" ht="15" hidden="false" customHeight="false" outlineLevel="0" collapsed="false">
      <c r="A600" s="2" t="s">
        <v>608</v>
      </c>
      <c r="B600" s="2" t="s">
        <v>12</v>
      </c>
      <c r="C600" s="3" t="n">
        <v>23100</v>
      </c>
      <c r="D600" s="2" t="n">
        <v>21</v>
      </c>
      <c r="E600" s="2" t="n">
        <v>21</v>
      </c>
    </row>
    <row r="601" customFormat="false" ht="15" hidden="false" customHeight="false" outlineLevel="0" collapsed="false">
      <c r="A601" s="2" t="s">
        <v>609</v>
      </c>
      <c r="B601" s="2" t="s">
        <v>12</v>
      </c>
      <c r="C601" s="3" t="n">
        <v>6900</v>
      </c>
      <c r="D601" s="2" t="n">
        <v>16</v>
      </c>
      <c r="E601" s="2" t="n">
        <v>16</v>
      </c>
    </row>
    <row r="602" customFormat="false" ht="15" hidden="false" customHeight="false" outlineLevel="0" collapsed="false">
      <c r="A602" s="2" t="s">
        <v>610</v>
      </c>
      <c r="B602" s="2" t="s">
        <v>8</v>
      </c>
      <c r="C602" s="3" t="n">
        <v>8200</v>
      </c>
      <c r="D602" s="2" t="n">
        <v>12</v>
      </c>
      <c r="E602" s="2" t="n">
        <v>12</v>
      </c>
    </row>
    <row r="603" customFormat="false" ht="15" hidden="false" customHeight="false" outlineLevel="0" collapsed="false">
      <c r="A603" s="2" t="s">
        <v>611</v>
      </c>
      <c r="B603" s="2" t="s">
        <v>6</v>
      </c>
      <c r="C603" s="3" t="n">
        <v>4300</v>
      </c>
      <c r="D603" s="2" t="n">
        <v>8</v>
      </c>
      <c r="E603" s="2" t="n">
        <v>33</v>
      </c>
    </row>
    <row r="604" customFormat="false" ht="15" hidden="false" customHeight="false" outlineLevel="0" collapsed="false">
      <c r="A604" s="2" t="s">
        <v>612</v>
      </c>
      <c r="B604" s="2" t="s">
        <v>12</v>
      </c>
      <c r="C604" s="3" t="n">
        <v>2900</v>
      </c>
      <c r="D604" s="2" t="n">
        <v>11</v>
      </c>
      <c r="E604" s="2" t="n">
        <v>21</v>
      </c>
    </row>
    <row r="605" customFormat="false" ht="15" hidden="false" customHeight="false" outlineLevel="0" collapsed="false">
      <c r="A605" s="2" t="s">
        <v>613</v>
      </c>
      <c r="B605" s="2" t="s">
        <v>10</v>
      </c>
      <c r="C605" s="3" t="n">
        <v>3000</v>
      </c>
      <c r="D605" s="2" t="n">
        <v>39</v>
      </c>
      <c r="E605" s="2" t="n">
        <v>44</v>
      </c>
    </row>
    <row r="606" customFormat="false" ht="15" hidden="false" customHeight="false" outlineLevel="0" collapsed="false">
      <c r="A606" s="2" t="s">
        <v>614</v>
      </c>
      <c r="B606" s="2" t="s">
        <v>10</v>
      </c>
      <c r="C606" s="3" t="n">
        <v>10500</v>
      </c>
      <c r="D606" s="2" t="n">
        <v>9</v>
      </c>
      <c r="E606" s="2" t="n">
        <v>9</v>
      </c>
    </row>
    <row r="607" customFormat="false" ht="15" hidden="false" customHeight="false" outlineLevel="0" collapsed="false">
      <c r="A607" s="2" t="s">
        <v>615</v>
      </c>
      <c r="B607" s="2" t="s">
        <v>15</v>
      </c>
      <c r="C607" s="3" t="n">
        <v>4200</v>
      </c>
      <c r="D607" s="2" t="n">
        <v>5</v>
      </c>
      <c r="E607" s="2" t="n">
        <v>45</v>
      </c>
    </row>
    <row r="608" customFormat="false" ht="15" hidden="false" customHeight="false" outlineLevel="0" collapsed="false">
      <c r="A608" s="2" t="s">
        <v>616</v>
      </c>
      <c r="B608" s="2" t="s">
        <v>12</v>
      </c>
      <c r="C608" s="3" t="n">
        <v>15100</v>
      </c>
      <c r="D608" s="2" t="n">
        <v>36</v>
      </c>
      <c r="E608" s="2" t="n">
        <v>36</v>
      </c>
    </row>
    <row r="609" customFormat="false" ht="15" hidden="false" customHeight="false" outlineLevel="0" collapsed="false">
      <c r="A609" s="2" t="s">
        <v>617</v>
      </c>
      <c r="B609" s="2" t="s">
        <v>12</v>
      </c>
      <c r="C609" s="3" t="n">
        <v>17700</v>
      </c>
      <c r="D609" s="2" t="n">
        <v>31</v>
      </c>
      <c r="E609" s="2" t="n">
        <v>31</v>
      </c>
    </row>
    <row r="610" customFormat="false" ht="15" hidden="false" customHeight="false" outlineLevel="0" collapsed="false">
      <c r="A610" s="2" t="s">
        <v>618</v>
      </c>
      <c r="B610" s="2" t="s">
        <v>15</v>
      </c>
      <c r="C610" s="3" t="n">
        <v>6900</v>
      </c>
      <c r="D610" s="2" t="n">
        <v>20</v>
      </c>
      <c r="E610" s="2" t="n">
        <v>20</v>
      </c>
    </row>
    <row r="611" customFormat="false" ht="15" hidden="false" customHeight="false" outlineLevel="0" collapsed="false">
      <c r="A611" s="2" t="s">
        <v>619</v>
      </c>
      <c r="B611" s="2" t="s">
        <v>8</v>
      </c>
      <c r="C611" s="3" t="n">
        <v>20200</v>
      </c>
      <c r="D611" s="2" t="n">
        <v>2</v>
      </c>
      <c r="E611" s="2" t="n">
        <v>2</v>
      </c>
    </row>
    <row r="612" customFormat="false" ht="15" hidden="false" customHeight="false" outlineLevel="0" collapsed="false">
      <c r="A612" s="2" t="s">
        <v>620</v>
      </c>
      <c r="B612" s="2" t="s">
        <v>10</v>
      </c>
      <c r="C612" s="3" t="n">
        <v>9200</v>
      </c>
      <c r="D612" s="2" t="n">
        <v>9</v>
      </c>
      <c r="E612" s="2" t="n">
        <v>9</v>
      </c>
    </row>
    <row r="613" customFormat="false" ht="15" hidden="false" customHeight="false" outlineLevel="0" collapsed="false">
      <c r="A613" s="2" t="s">
        <v>621</v>
      </c>
      <c r="B613" s="2" t="s">
        <v>6</v>
      </c>
      <c r="C613" s="3" t="n">
        <v>15000</v>
      </c>
      <c r="D613" s="2" t="n">
        <v>28</v>
      </c>
      <c r="E613" s="2" t="n">
        <v>28</v>
      </c>
    </row>
    <row r="614" customFormat="false" ht="15" hidden="false" customHeight="false" outlineLevel="0" collapsed="false">
      <c r="A614" s="2" t="s">
        <v>622</v>
      </c>
      <c r="B614" s="2" t="s">
        <v>12</v>
      </c>
      <c r="C614" s="3" t="n">
        <v>7200</v>
      </c>
      <c r="D614" s="2" t="n">
        <v>11</v>
      </c>
      <c r="E614" s="2" t="n">
        <v>11</v>
      </c>
    </row>
    <row r="615" customFormat="false" ht="15" hidden="false" customHeight="false" outlineLevel="0" collapsed="false">
      <c r="A615" s="2" t="s">
        <v>623</v>
      </c>
      <c r="B615" s="2" t="s">
        <v>10</v>
      </c>
      <c r="C615" s="3" t="n">
        <v>13700</v>
      </c>
      <c r="D615" s="2" t="n">
        <v>39</v>
      </c>
      <c r="E615" s="2" t="n">
        <v>39</v>
      </c>
    </row>
    <row r="616" customFormat="false" ht="15" hidden="false" customHeight="false" outlineLevel="0" collapsed="false">
      <c r="A616" s="2" t="s">
        <v>624</v>
      </c>
      <c r="B616" s="2" t="s">
        <v>12</v>
      </c>
      <c r="C616" s="3" t="n">
        <v>4800</v>
      </c>
      <c r="D616" s="2" t="n">
        <v>46</v>
      </c>
      <c r="E616" s="2" t="n">
        <v>46</v>
      </c>
    </row>
    <row r="617" customFormat="false" ht="15" hidden="false" customHeight="false" outlineLevel="0" collapsed="false">
      <c r="A617" s="2" t="s">
        <v>625</v>
      </c>
      <c r="B617" s="2" t="s">
        <v>15</v>
      </c>
      <c r="C617" s="3" t="n">
        <v>11400</v>
      </c>
      <c r="D617" s="2" t="n">
        <v>5</v>
      </c>
      <c r="E617" s="2" t="n">
        <v>5</v>
      </c>
    </row>
    <row r="618" customFormat="false" ht="15" hidden="false" customHeight="false" outlineLevel="0" collapsed="false">
      <c r="A618" s="2" t="s">
        <v>626</v>
      </c>
      <c r="B618" s="2" t="s">
        <v>15</v>
      </c>
      <c r="C618" s="3" t="n">
        <v>6300</v>
      </c>
      <c r="D618" s="2" t="n">
        <v>40</v>
      </c>
      <c r="E618" s="2" t="n">
        <v>40</v>
      </c>
    </row>
    <row r="619" customFormat="false" ht="15" hidden="false" customHeight="false" outlineLevel="0" collapsed="false">
      <c r="A619" s="2" t="s">
        <v>627</v>
      </c>
      <c r="B619" s="2" t="s">
        <v>12</v>
      </c>
      <c r="C619" s="3" t="n">
        <v>7500</v>
      </c>
      <c r="D619" s="2" t="n">
        <v>41</v>
      </c>
      <c r="E619" s="2" t="n">
        <v>41</v>
      </c>
    </row>
    <row r="620" customFormat="false" ht="15" hidden="false" customHeight="false" outlineLevel="0" collapsed="false">
      <c r="A620" s="2" t="s">
        <v>628</v>
      </c>
      <c r="B620" s="2" t="s">
        <v>15</v>
      </c>
      <c r="C620" s="3" t="n">
        <v>11500</v>
      </c>
      <c r="D620" s="2" t="n">
        <v>25</v>
      </c>
      <c r="E620" s="2" t="n">
        <v>25</v>
      </c>
    </row>
    <row r="621" customFormat="false" ht="15" hidden="false" customHeight="false" outlineLevel="0" collapsed="false">
      <c r="A621" s="2" t="s">
        <v>629</v>
      </c>
      <c r="B621" s="2" t="s">
        <v>12</v>
      </c>
      <c r="C621" s="3" t="n">
        <v>8900</v>
      </c>
      <c r="D621" s="2" t="n">
        <v>21</v>
      </c>
      <c r="E621" s="2" t="n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3" min="11" style="0" width="30"/>
  </cols>
  <sheetData>
    <row r="1" customFormat="false" ht="23.85" hidden="false" customHeight="false" outlineLevel="0" collapsed="false">
      <c r="A1" s="4" t="s">
        <v>630</v>
      </c>
      <c r="B1" s="4" t="s">
        <v>631</v>
      </c>
      <c r="C1" s="4" t="s">
        <v>1</v>
      </c>
      <c r="D1" s="4" t="s">
        <v>632</v>
      </c>
      <c r="E1" s="4" t="s">
        <v>633</v>
      </c>
      <c r="F1" s="4" t="s">
        <v>634</v>
      </c>
      <c r="G1" s="4" t="s">
        <v>635</v>
      </c>
      <c r="H1" s="4" t="s">
        <v>636</v>
      </c>
      <c r="I1" s="4" t="s">
        <v>637</v>
      </c>
      <c r="K1" s="5" t="s">
        <v>638</v>
      </c>
      <c r="L1" s="5" t="s">
        <v>639</v>
      </c>
      <c r="M1" s="5" t="s">
        <v>640</v>
      </c>
    </row>
    <row r="2" customFormat="false" ht="15" hidden="false" customHeight="false" outlineLevel="0" collapsed="false">
      <c r="A2" s="2" t="n">
        <v>1</v>
      </c>
      <c r="B2" s="2" t="s">
        <v>641</v>
      </c>
      <c r="C2" s="2" t="s">
        <v>12</v>
      </c>
      <c r="D2" s="2" t="n">
        <f aca="false">COUNTIFS(Accounts!$D$2:$D$621,A2)</f>
        <v>18</v>
      </c>
      <c r="E2" s="3" t="n">
        <f aca="false">SUMIFS(Accounts!$C$2:$C$621,Accounts!$D$2:$D$621,A2)</f>
        <v>158400</v>
      </c>
      <c r="F2" s="2" t="n">
        <f aca="false">COUNTIFS(Accounts!$E$2:$E$621,A2)</f>
        <v>14</v>
      </c>
      <c r="G2" s="3" t="n">
        <f aca="false">SUMIFS(Accounts!$C$2:$C$621,Accounts!$E$2:$E$621,A2)</f>
        <v>140100</v>
      </c>
      <c r="H2" s="2" t="n">
        <f aca="false">F2-D2</f>
        <v>-4</v>
      </c>
      <c r="I2" s="6" t="n">
        <f aca="false">G2-E2</f>
        <v>-18300</v>
      </c>
      <c r="K2" s="7" t="s">
        <v>642</v>
      </c>
      <c r="L2" s="8" t="n">
        <f aca="false">AVERAGE(E2:E51)</f>
        <v>112756</v>
      </c>
      <c r="M2" s="8" t="n">
        <f aca="false">AVERAGE(G2:G51)</f>
        <v>112756</v>
      </c>
    </row>
    <row r="3" customFormat="false" ht="15" hidden="false" customHeight="false" outlineLevel="0" collapsed="false">
      <c r="A3" s="2" t="n">
        <v>2</v>
      </c>
      <c r="B3" s="2" t="s">
        <v>643</v>
      </c>
      <c r="C3" s="2" t="s">
        <v>8</v>
      </c>
      <c r="D3" s="2" t="n">
        <f aca="false">COUNTIFS(Accounts!$D$2:$D$621,A3)</f>
        <v>20</v>
      </c>
      <c r="E3" s="3" t="n">
        <f aca="false">SUMIFS(Accounts!$C$2:$C$621,Accounts!$D$2:$D$621,A3)</f>
        <v>182500</v>
      </c>
      <c r="F3" s="2" t="n">
        <f aca="false">COUNTIFS(Accounts!$E$2:$E$621,A3)</f>
        <v>13</v>
      </c>
      <c r="G3" s="3" t="n">
        <f aca="false">SUMIFS(Accounts!$C$2:$C$621,Accounts!$E$2:$E$621,A3)</f>
        <v>141900</v>
      </c>
      <c r="H3" s="2" t="n">
        <f aca="false">F3-D3</f>
        <v>-7</v>
      </c>
      <c r="I3" s="6" t="n">
        <f aca="false">G3-E3</f>
        <v>-40600</v>
      </c>
      <c r="K3" s="7" t="s">
        <v>644</v>
      </c>
      <c r="L3" s="8" t="n">
        <f aca="false">STDEVP(E2:E51)</f>
        <v>46105.2802182136</v>
      </c>
      <c r="M3" s="8" t="n">
        <f aca="false">STDEVP(G2:G51)</f>
        <v>28419.4944360381</v>
      </c>
    </row>
    <row r="4" customFormat="false" ht="15" hidden="false" customHeight="false" outlineLevel="0" collapsed="false">
      <c r="A4" s="2" t="n">
        <v>3</v>
      </c>
      <c r="B4" s="2" t="s">
        <v>645</v>
      </c>
      <c r="C4" s="2" t="s">
        <v>6</v>
      </c>
      <c r="D4" s="2" t="n">
        <f aca="false">COUNTIFS(Accounts!$D$2:$D$621,A4)</f>
        <v>16</v>
      </c>
      <c r="E4" s="3" t="n">
        <f aca="false">SUMIFS(Accounts!$C$2:$C$621,Accounts!$D$2:$D$621,A4)</f>
        <v>143000</v>
      </c>
      <c r="F4" s="2" t="n">
        <f aca="false">COUNTIFS(Accounts!$E$2:$E$621,A4)</f>
        <v>12</v>
      </c>
      <c r="G4" s="3" t="n">
        <f aca="false">SUMIFS(Accounts!$C$2:$C$621,Accounts!$E$2:$E$621,A4)</f>
        <v>124300</v>
      </c>
      <c r="H4" s="2" t="n">
        <f aca="false">F4-D4</f>
        <v>-4</v>
      </c>
      <c r="I4" s="6" t="n">
        <f aca="false">G4-E4</f>
        <v>-18700</v>
      </c>
      <c r="K4" s="7" t="s">
        <v>646</v>
      </c>
      <c r="L4" s="9" t="n">
        <f aca="false">L3/L2</f>
        <v>0.408894251465231</v>
      </c>
      <c r="M4" s="9" t="n">
        <f aca="false">M3/M2</f>
        <v>0.252044187768616</v>
      </c>
    </row>
    <row r="5" customFormat="false" ht="15" hidden="false" customHeight="false" outlineLevel="0" collapsed="false">
      <c r="A5" s="2" t="n">
        <v>4</v>
      </c>
      <c r="B5" s="2" t="s">
        <v>647</v>
      </c>
      <c r="C5" s="2" t="s">
        <v>10</v>
      </c>
      <c r="D5" s="2" t="n">
        <f aca="false">COUNTIFS(Accounts!$D$2:$D$621,A5)</f>
        <v>11</v>
      </c>
      <c r="E5" s="3" t="n">
        <f aca="false">SUMIFS(Accounts!$C$2:$C$621,Accounts!$D$2:$D$621,A5)</f>
        <v>115600</v>
      </c>
      <c r="F5" s="2" t="n">
        <f aca="false">COUNTIFS(Accounts!$E$2:$E$621,A5)</f>
        <v>11</v>
      </c>
      <c r="G5" s="3" t="n">
        <f aca="false">SUMIFS(Accounts!$C$2:$C$621,Accounts!$E$2:$E$621,A5)</f>
        <v>115600</v>
      </c>
      <c r="H5" s="2" t="n">
        <f aca="false">F5-D5</f>
        <v>0</v>
      </c>
      <c r="I5" s="6" t="n">
        <f aca="false">G5-E5</f>
        <v>0</v>
      </c>
      <c r="K5" s="7" t="s">
        <v>648</v>
      </c>
      <c r="L5" s="10"/>
      <c r="M5" s="9" t="n">
        <f aca="false">(L3-M3)/L3</f>
        <v>0.383595668402182</v>
      </c>
    </row>
    <row r="6" customFormat="false" ht="15" hidden="false" customHeight="false" outlineLevel="0" collapsed="false">
      <c r="A6" s="2" t="n">
        <v>5</v>
      </c>
      <c r="B6" s="2" t="s">
        <v>649</v>
      </c>
      <c r="C6" s="2" t="s">
        <v>15</v>
      </c>
      <c r="D6" s="2" t="n">
        <f aca="false">COUNTIFS(Accounts!$D$2:$D$621,A6)</f>
        <v>22</v>
      </c>
      <c r="E6" s="3" t="n">
        <f aca="false">SUMIFS(Accounts!$C$2:$C$621,Accounts!$D$2:$D$621,A6)</f>
        <v>247000</v>
      </c>
      <c r="F6" s="2" t="n">
        <f aca="false">COUNTIFS(Accounts!$E$2:$E$621,A6)</f>
        <v>13</v>
      </c>
      <c r="G6" s="3" t="n">
        <f aca="false">SUMIFS(Accounts!$C$2:$C$621,Accounts!$E$2:$E$621,A6)</f>
        <v>192300</v>
      </c>
      <c r="H6" s="2" t="n">
        <f aca="false">F6-D6</f>
        <v>-9</v>
      </c>
      <c r="I6" s="6" t="n">
        <f aca="false">G6-E6</f>
        <v>-54700</v>
      </c>
      <c r="K6" s="7" t="s">
        <v>650</v>
      </c>
      <c r="L6" s="11" t="n">
        <f aca="false">COUNTIF(D2:D51,"&gt;12")</f>
        <v>19</v>
      </c>
      <c r="M6" s="11" t="n">
        <f aca="false">COUNTIF(F2:F51,"&gt;12")</f>
        <v>24</v>
      </c>
    </row>
    <row r="7" customFormat="false" ht="15" hidden="false" customHeight="false" outlineLevel="0" collapsed="false">
      <c r="A7" s="2" t="n">
        <v>6</v>
      </c>
      <c r="B7" s="2" t="s">
        <v>651</v>
      </c>
      <c r="C7" s="2" t="s">
        <v>12</v>
      </c>
      <c r="D7" s="2" t="n">
        <f aca="false">COUNTIFS(Accounts!$D$2:$D$621,A7)</f>
        <v>16</v>
      </c>
      <c r="E7" s="3" t="n">
        <f aca="false">SUMIFS(Accounts!$C$2:$C$621,Accounts!$D$2:$D$621,A7)</f>
        <v>129900</v>
      </c>
      <c r="F7" s="2" t="n">
        <f aca="false">COUNTIFS(Accounts!$E$2:$E$621,A7)</f>
        <v>16</v>
      </c>
      <c r="G7" s="3" t="n">
        <f aca="false">SUMIFS(Accounts!$C$2:$C$621,Accounts!$E$2:$E$621,A7)</f>
        <v>129900</v>
      </c>
      <c r="H7" s="2" t="n">
        <f aca="false">F7-D7</f>
        <v>0</v>
      </c>
      <c r="I7" s="6" t="n">
        <f aca="false">G7-E7</f>
        <v>0</v>
      </c>
      <c r="K7" s="7" t="s">
        <v>652</v>
      </c>
      <c r="L7" s="11" t="n">
        <f aca="false">SUMPRODUCT((D2:D51&gt;12)*(D2:D51-12))</f>
        <v>112</v>
      </c>
      <c r="M7" s="11" t="n">
        <f aca="false">SUMPRODUCT((F2:F51&gt;12)*(F2:F51-12))</f>
        <v>43</v>
      </c>
    </row>
    <row r="8" customFormat="false" ht="15" hidden="false" customHeight="false" outlineLevel="0" collapsed="false">
      <c r="A8" s="2" t="n">
        <v>7</v>
      </c>
      <c r="B8" s="2" t="s">
        <v>653</v>
      </c>
      <c r="C8" s="2" t="s">
        <v>8</v>
      </c>
      <c r="D8" s="2" t="n">
        <f aca="false">COUNTIFS(Accounts!$D$2:$D$621,A8)</f>
        <v>15</v>
      </c>
      <c r="E8" s="3" t="n">
        <f aca="false">SUMIFS(Accounts!$C$2:$C$621,Accounts!$D$2:$D$621,A8)</f>
        <v>119200</v>
      </c>
      <c r="F8" s="2" t="n">
        <f aca="false">COUNTIFS(Accounts!$E$2:$E$621,A8)</f>
        <v>15</v>
      </c>
      <c r="G8" s="3" t="n">
        <f aca="false">SUMIFS(Accounts!$C$2:$C$621,Accounts!$E$2:$E$621,A8)</f>
        <v>119200</v>
      </c>
      <c r="H8" s="2" t="n">
        <f aca="false">F8-D8</f>
        <v>0</v>
      </c>
      <c r="I8" s="6" t="n">
        <f aca="false">G8-E8</f>
        <v>0</v>
      </c>
      <c r="K8" s="7" t="s">
        <v>654</v>
      </c>
      <c r="L8" s="11" t="n">
        <f aca="false">MAX(D2:D51)</f>
        <v>24</v>
      </c>
      <c r="M8" s="11" t="n">
        <f aca="false">MAX(F2:F51)</f>
        <v>19</v>
      </c>
    </row>
    <row r="9" customFormat="false" ht="15" hidden="false" customHeight="false" outlineLevel="0" collapsed="false">
      <c r="A9" s="2" t="n">
        <v>8</v>
      </c>
      <c r="B9" s="2" t="s">
        <v>655</v>
      </c>
      <c r="C9" s="2" t="s">
        <v>6</v>
      </c>
      <c r="D9" s="2" t="n">
        <f aca="false">COUNTIFS(Accounts!$D$2:$D$621,A9)</f>
        <v>23</v>
      </c>
      <c r="E9" s="3" t="n">
        <f aca="false">SUMIFS(Accounts!$C$2:$C$621,Accounts!$D$2:$D$621,A9)</f>
        <v>183400</v>
      </c>
      <c r="F9" s="2" t="n">
        <f aca="false">COUNTIFS(Accounts!$E$2:$E$621,A9)</f>
        <v>12</v>
      </c>
      <c r="G9" s="3" t="n">
        <f aca="false">SUMIFS(Accounts!$C$2:$C$621,Accounts!$E$2:$E$621,A9)</f>
        <v>131400</v>
      </c>
      <c r="H9" s="2" t="n">
        <f aca="false">F9-D9</f>
        <v>-11</v>
      </c>
      <c r="I9" s="6" t="n">
        <f aca="false">G9-E9</f>
        <v>-52000</v>
      </c>
    </row>
    <row r="10" customFormat="false" ht="15" hidden="false" customHeight="false" outlineLevel="0" collapsed="false">
      <c r="A10" s="2" t="n">
        <v>9</v>
      </c>
      <c r="B10" s="2" t="s">
        <v>656</v>
      </c>
      <c r="C10" s="2" t="s">
        <v>10</v>
      </c>
      <c r="D10" s="2" t="n">
        <f aca="false">COUNTIFS(Accounts!$D$2:$D$621,A10)</f>
        <v>13</v>
      </c>
      <c r="E10" s="3" t="n">
        <f aca="false">SUMIFS(Accounts!$C$2:$C$621,Accounts!$D$2:$D$621,A10)</f>
        <v>118900</v>
      </c>
      <c r="F10" s="2" t="n">
        <f aca="false">COUNTIFS(Accounts!$E$2:$E$621,A10)</f>
        <v>13</v>
      </c>
      <c r="G10" s="3" t="n">
        <f aca="false">SUMIFS(Accounts!$C$2:$C$621,Accounts!$E$2:$E$621,A10)</f>
        <v>118900</v>
      </c>
      <c r="H10" s="2" t="n">
        <f aca="false">F10-D10</f>
        <v>0</v>
      </c>
      <c r="I10" s="6" t="n">
        <f aca="false">G10-E10</f>
        <v>0</v>
      </c>
    </row>
    <row r="11" customFormat="false" ht="15" hidden="false" customHeight="false" outlineLevel="0" collapsed="false">
      <c r="A11" s="2" t="n">
        <v>10</v>
      </c>
      <c r="B11" s="2" t="s">
        <v>657</v>
      </c>
      <c r="C11" s="2" t="s">
        <v>15</v>
      </c>
      <c r="D11" s="2" t="n">
        <f aca="false">COUNTIFS(Accounts!$D$2:$D$621,A11)</f>
        <v>11</v>
      </c>
      <c r="E11" s="3" t="n">
        <f aca="false">SUMIFS(Accounts!$C$2:$C$621,Accounts!$D$2:$D$621,A11)</f>
        <v>89600</v>
      </c>
      <c r="F11" s="2" t="n">
        <f aca="false">COUNTIFS(Accounts!$E$2:$E$621,A11)</f>
        <v>11</v>
      </c>
      <c r="G11" s="3" t="n">
        <f aca="false">SUMIFS(Accounts!$C$2:$C$621,Accounts!$E$2:$E$621,A11)</f>
        <v>89600</v>
      </c>
      <c r="H11" s="2" t="n">
        <f aca="false">F11-D11</f>
        <v>0</v>
      </c>
      <c r="I11" s="6" t="n">
        <f aca="false">G11-E11</f>
        <v>0</v>
      </c>
    </row>
    <row r="12" customFormat="false" ht="15" hidden="false" customHeight="false" outlineLevel="0" collapsed="false">
      <c r="A12" s="2" t="n">
        <v>11</v>
      </c>
      <c r="B12" s="2" t="s">
        <v>658</v>
      </c>
      <c r="C12" s="2" t="s">
        <v>12</v>
      </c>
      <c r="D12" s="2" t="n">
        <f aca="false">COUNTIFS(Accounts!$D$2:$D$621,A12)</f>
        <v>23</v>
      </c>
      <c r="E12" s="3" t="n">
        <f aca="false">SUMIFS(Accounts!$C$2:$C$621,Accounts!$D$2:$D$621,A12)</f>
        <v>195700</v>
      </c>
      <c r="F12" s="2" t="n">
        <f aca="false">COUNTIFS(Accounts!$E$2:$E$621,A12)</f>
        <v>14</v>
      </c>
      <c r="G12" s="3" t="n">
        <f aca="false">SUMIFS(Accounts!$C$2:$C$621,Accounts!$E$2:$E$621,A12)</f>
        <v>157200</v>
      </c>
      <c r="H12" s="2" t="n">
        <f aca="false">F12-D12</f>
        <v>-9</v>
      </c>
      <c r="I12" s="6" t="n">
        <f aca="false">G12-E12</f>
        <v>-38500</v>
      </c>
    </row>
    <row r="13" customFormat="false" ht="15" hidden="false" customHeight="false" outlineLevel="0" collapsed="false">
      <c r="A13" s="2" t="n">
        <v>12</v>
      </c>
      <c r="B13" s="2" t="s">
        <v>659</v>
      </c>
      <c r="C13" s="2" t="s">
        <v>8</v>
      </c>
      <c r="D13" s="2" t="n">
        <f aca="false">COUNTIFS(Accounts!$D$2:$D$621,A13)</f>
        <v>18</v>
      </c>
      <c r="E13" s="3" t="n">
        <f aca="false">SUMIFS(Accounts!$C$2:$C$621,Accounts!$D$2:$D$621,A13)</f>
        <v>149900</v>
      </c>
      <c r="F13" s="2" t="n">
        <f aca="false">COUNTIFS(Accounts!$E$2:$E$621,A13)</f>
        <v>13</v>
      </c>
      <c r="G13" s="3" t="n">
        <f aca="false">SUMIFS(Accounts!$C$2:$C$621,Accounts!$E$2:$E$621,A13)</f>
        <v>133500</v>
      </c>
      <c r="H13" s="2" t="n">
        <f aca="false">F13-D13</f>
        <v>-5</v>
      </c>
      <c r="I13" s="6" t="n">
        <f aca="false">G13-E13</f>
        <v>-16400</v>
      </c>
    </row>
    <row r="14" customFormat="false" ht="15" hidden="false" customHeight="false" outlineLevel="0" collapsed="false">
      <c r="A14" s="2" t="n">
        <v>13</v>
      </c>
      <c r="B14" s="2" t="s">
        <v>660</v>
      </c>
      <c r="C14" s="2" t="s">
        <v>6</v>
      </c>
      <c r="D14" s="2" t="n">
        <f aca="false">COUNTIFS(Accounts!$D$2:$D$621,A14)</f>
        <v>14</v>
      </c>
      <c r="E14" s="3" t="n">
        <f aca="false">SUMIFS(Accounts!$C$2:$C$621,Accounts!$D$2:$D$621,A14)</f>
        <v>134700</v>
      </c>
      <c r="F14" s="2" t="n">
        <f aca="false">COUNTIFS(Accounts!$E$2:$E$621,A14)</f>
        <v>14</v>
      </c>
      <c r="G14" s="3" t="n">
        <f aca="false">SUMIFS(Accounts!$C$2:$C$621,Accounts!$E$2:$E$621,A14)</f>
        <v>134700</v>
      </c>
      <c r="H14" s="2" t="n">
        <f aca="false">F14-D14</f>
        <v>0</v>
      </c>
      <c r="I14" s="6" t="n">
        <f aca="false">G14-E14</f>
        <v>0</v>
      </c>
    </row>
    <row r="15" customFormat="false" ht="15" hidden="false" customHeight="false" outlineLevel="0" collapsed="false">
      <c r="A15" s="2" t="n">
        <v>14</v>
      </c>
      <c r="B15" s="2" t="s">
        <v>661</v>
      </c>
      <c r="C15" s="2" t="s">
        <v>10</v>
      </c>
      <c r="D15" s="2" t="n">
        <f aca="false">COUNTIFS(Accounts!$D$2:$D$621,A15)</f>
        <v>12</v>
      </c>
      <c r="E15" s="3" t="n">
        <f aca="false">SUMIFS(Accounts!$C$2:$C$621,Accounts!$D$2:$D$621,A15)</f>
        <v>93100</v>
      </c>
      <c r="F15" s="2" t="n">
        <f aca="false">COUNTIFS(Accounts!$E$2:$E$621,A15)</f>
        <v>12</v>
      </c>
      <c r="G15" s="3" t="n">
        <f aca="false">SUMIFS(Accounts!$C$2:$C$621,Accounts!$E$2:$E$621,A15)</f>
        <v>93100</v>
      </c>
      <c r="H15" s="2" t="n">
        <f aca="false">F15-D15</f>
        <v>0</v>
      </c>
      <c r="I15" s="6" t="n">
        <f aca="false">G15-E15</f>
        <v>0</v>
      </c>
    </row>
    <row r="16" customFormat="false" ht="15" hidden="false" customHeight="false" outlineLevel="0" collapsed="false">
      <c r="A16" s="2" t="n">
        <v>15</v>
      </c>
      <c r="B16" s="2" t="s">
        <v>662</v>
      </c>
      <c r="C16" s="2" t="s">
        <v>15</v>
      </c>
      <c r="D16" s="2" t="n">
        <f aca="false">COUNTIFS(Accounts!$D$2:$D$621,A16)</f>
        <v>17</v>
      </c>
      <c r="E16" s="3" t="n">
        <f aca="false">SUMIFS(Accounts!$C$2:$C$621,Accounts!$D$2:$D$621,A16)</f>
        <v>162900</v>
      </c>
      <c r="F16" s="2" t="n">
        <f aca="false">COUNTIFS(Accounts!$E$2:$E$621,A16)</f>
        <v>13</v>
      </c>
      <c r="G16" s="3" t="n">
        <f aca="false">SUMIFS(Accounts!$C$2:$C$621,Accounts!$E$2:$E$621,A16)</f>
        <v>141200</v>
      </c>
      <c r="H16" s="2" t="n">
        <f aca="false">F16-D16</f>
        <v>-4</v>
      </c>
      <c r="I16" s="6" t="n">
        <f aca="false">G16-E16</f>
        <v>-21700</v>
      </c>
    </row>
    <row r="17" customFormat="false" ht="15" hidden="false" customHeight="false" outlineLevel="0" collapsed="false">
      <c r="A17" s="2" t="n">
        <v>16</v>
      </c>
      <c r="B17" s="2" t="s">
        <v>663</v>
      </c>
      <c r="C17" s="2" t="s">
        <v>12</v>
      </c>
      <c r="D17" s="2" t="n">
        <f aca="false">COUNTIFS(Accounts!$D$2:$D$621,A17)</f>
        <v>21</v>
      </c>
      <c r="E17" s="3" t="n">
        <f aca="false">SUMIFS(Accounts!$C$2:$C$621,Accounts!$D$2:$D$621,A17)</f>
        <v>176900</v>
      </c>
      <c r="F17" s="2" t="n">
        <f aca="false">COUNTIFS(Accounts!$E$2:$E$621,A17)</f>
        <v>14</v>
      </c>
      <c r="G17" s="3" t="n">
        <f aca="false">SUMIFS(Accounts!$C$2:$C$621,Accounts!$E$2:$E$621,A17)</f>
        <v>148200</v>
      </c>
      <c r="H17" s="2" t="n">
        <f aca="false">F17-D17</f>
        <v>-7</v>
      </c>
      <c r="I17" s="6" t="n">
        <f aca="false">G17-E17</f>
        <v>-28700</v>
      </c>
    </row>
    <row r="18" customFormat="false" ht="15" hidden="false" customHeight="false" outlineLevel="0" collapsed="false">
      <c r="A18" s="2" t="n">
        <v>17</v>
      </c>
      <c r="B18" s="2" t="s">
        <v>664</v>
      </c>
      <c r="C18" s="2" t="s">
        <v>8</v>
      </c>
      <c r="D18" s="2" t="n">
        <f aca="false">COUNTIFS(Accounts!$D$2:$D$621,A18)</f>
        <v>18</v>
      </c>
      <c r="E18" s="3" t="n">
        <f aca="false">SUMIFS(Accounts!$C$2:$C$621,Accounts!$D$2:$D$621,A18)</f>
        <v>131300</v>
      </c>
      <c r="F18" s="2" t="n">
        <f aca="false">COUNTIFS(Accounts!$E$2:$E$621,A18)</f>
        <v>14</v>
      </c>
      <c r="G18" s="3" t="n">
        <f aca="false">SUMIFS(Accounts!$C$2:$C$621,Accounts!$E$2:$E$621,A18)</f>
        <v>116700</v>
      </c>
      <c r="H18" s="2" t="n">
        <f aca="false">F18-D18</f>
        <v>-4</v>
      </c>
      <c r="I18" s="6" t="n">
        <f aca="false">G18-E18</f>
        <v>-14600</v>
      </c>
    </row>
    <row r="19" customFormat="false" ht="15" hidden="false" customHeight="false" outlineLevel="0" collapsed="false">
      <c r="A19" s="2" t="n">
        <v>18</v>
      </c>
      <c r="B19" s="2" t="s">
        <v>665</v>
      </c>
      <c r="C19" s="2" t="s">
        <v>6</v>
      </c>
      <c r="D19" s="2" t="n">
        <f aca="false">COUNTIFS(Accounts!$D$2:$D$621,A19)</f>
        <v>11</v>
      </c>
      <c r="E19" s="3" t="n">
        <f aca="false">SUMIFS(Accounts!$C$2:$C$621,Accounts!$D$2:$D$621,A19)</f>
        <v>100300</v>
      </c>
      <c r="F19" s="2" t="n">
        <f aca="false">COUNTIFS(Accounts!$E$2:$E$621,A19)</f>
        <v>11</v>
      </c>
      <c r="G19" s="3" t="n">
        <f aca="false">SUMIFS(Accounts!$C$2:$C$621,Accounts!$E$2:$E$621,A19)</f>
        <v>100300</v>
      </c>
      <c r="H19" s="2" t="n">
        <f aca="false">F19-D19</f>
        <v>0</v>
      </c>
      <c r="I19" s="6" t="n">
        <f aca="false">G19-E19</f>
        <v>0</v>
      </c>
    </row>
    <row r="20" customFormat="false" ht="15" hidden="false" customHeight="false" outlineLevel="0" collapsed="false">
      <c r="A20" s="2" t="n">
        <v>19</v>
      </c>
      <c r="B20" s="2" t="s">
        <v>666</v>
      </c>
      <c r="C20" s="2" t="s">
        <v>10</v>
      </c>
      <c r="D20" s="2" t="n">
        <f aca="false">COUNTIFS(Accounts!$D$2:$D$621,A20)</f>
        <v>17</v>
      </c>
      <c r="E20" s="3" t="n">
        <f aca="false">SUMIFS(Accounts!$C$2:$C$621,Accounts!$D$2:$D$621,A20)</f>
        <v>142700</v>
      </c>
      <c r="F20" s="2" t="n">
        <f aca="false">COUNTIFS(Accounts!$E$2:$E$621,A20)</f>
        <v>12</v>
      </c>
      <c r="G20" s="3" t="n">
        <f aca="false">SUMIFS(Accounts!$C$2:$C$621,Accounts!$E$2:$E$621,A20)</f>
        <v>121900</v>
      </c>
      <c r="H20" s="2" t="n">
        <f aca="false">F20-D20</f>
        <v>-5</v>
      </c>
      <c r="I20" s="6" t="n">
        <f aca="false">G20-E20</f>
        <v>-20800</v>
      </c>
    </row>
    <row r="21" customFormat="false" ht="15" hidden="false" customHeight="false" outlineLevel="0" collapsed="false">
      <c r="A21" s="2" t="n">
        <v>20</v>
      </c>
      <c r="B21" s="2" t="s">
        <v>667</v>
      </c>
      <c r="C21" s="2" t="s">
        <v>15</v>
      </c>
      <c r="D21" s="2" t="n">
        <f aca="false">COUNTIFS(Accounts!$D$2:$D$621,A21)</f>
        <v>24</v>
      </c>
      <c r="E21" s="3" t="n">
        <f aca="false">SUMIFS(Accounts!$C$2:$C$621,Accounts!$D$2:$D$621,A21)</f>
        <v>200300</v>
      </c>
      <c r="F21" s="2" t="n">
        <f aca="false">COUNTIFS(Accounts!$E$2:$E$621,A21)</f>
        <v>19</v>
      </c>
      <c r="G21" s="3" t="n">
        <f aca="false">SUMIFS(Accounts!$C$2:$C$621,Accounts!$E$2:$E$621,A21)</f>
        <v>184000</v>
      </c>
      <c r="H21" s="2" t="n">
        <f aca="false">F21-D21</f>
        <v>-5</v>
      </c>
      <c r="I21" s="6" t="n">
        <f aca="false">G21-E21</f>
        <v>-16300</v>
      </c>
    </row>
    <row r="22" customFormat="false" ht="15" hidden="false" customHeight="false" outlineLevel="0" collapsed="false">
      <c r="A22" s="2" t="n">
        <v>21</v>
      </c>
      <c r="B22" s="2" t="s">
        <v>668</v>
      </c>
      <c r="C22" s="2" t="s">
        <v>12</v>
      </c>
      <c r="D22" s="2" t="n">
        <f aca="false">COUNTIFS(Accounts!$D$2:$D$621,A22)</f>
        <v>8</v>
      </c>
      <c r="E22" s="3" t="n">
        <f aca="false">SUMIFS(Accounts!$C$2:$C$621,Accounts!$D$2:$D$621,A22)</f>
        <v>108300</v>
      </c>
      <c r="F22" s="2" t="n">
        <f aca="false">COUNTIFS(Accounts!$E$2:$E$621,A22)</f>
        <v>14</v>
      </c>
      <c r="G22" s="3" t="n">
        <f aca="false">SUMIFS(Accounts!$C$2:$C$621,Accounts!$E$2:$E$621,A22)</f>
        <v>134400</v>
      </c>
      <c r="H22" s="2" t="n">
        <f aca="false">F22-D22</f>
        <v>6</v>
      </c>
      <c r="I22" s="6" t="n">
        <f aca="false">G22-E22</f>
        <v>26100</v>
      </c>
    </row>
    <row r="23" customFormat="false" ht="15" hidden="false" customHeight="false" outlineLevel="0" collapsed="false">
      <c r="A23" s="2" t="n">
        <v>22</v>
      </c>
      <c r="B23" s="2" t="s">
        <v>669</v>
      </c>
      <c r="C23" s="2" t="s">
        <v>8</v>
      </c>
      <c r="D23" s="2" t="n">
        <f aca="false">COUNTIFS(Accounts!$D$2:$D$621,A23)</f>
        <v>2</v>
      </c>
      <c r="E23" s="3" t="n">
        <f aca="false">SUMIFS(Accounts!$C$2:$C$621,Accounts!$D$2:$D$621,A23)</f>
        <v>12700</v>
      </c>
      <c r="F23" s="2" t="n">
        <f aca="false">COUNTIFS(Accounts!$E$2:$E$621,A23)</f>
        <v>13</v>
      </c>
      <c r="G23" s="3" t="n">
        <f aca="false">SUMIFS(Accounts!$C$2:$C$621,Accounts!$E$2:$E$621,A23)</f>
        <v>67000</v>
      </c>
      <c r="H23" s="2" t="n">
        <f aca="false">F23-D23</f>
        <v>11</v>
      </c>
      <c r="I23" s="6" t="n">
        <f aca="false">G23-E23</f>
        <v>54300</v>
      </c>
    </row>
    <row r="24" customFormat="false" ht="15" hidden="false" customHeight="false" outlineLevel="0" collapsed="false">
      <c r="A24" s="2" t="n">
        <v>23</v>
      </c>
      <c r="B24" s="2" t="s">
        <v>670</v>
      </c>
      <c r="C24" s="2" t="s">
        <v>6</v>
      </c>
      <c r="D24" s="2" t="n">
        <f aca="false">COUNTIFS(Accounts!$D$2:$D$621,A24)</f>
        <v>5</v>
      </c>
      <c r="E24" s="3" t="n">
        <f aca="false">SUMIFS(Accounts!$C$2:$C$621,Accounts!$D$2:$D$621,A24)</f>
        <v>55500</v>
      </c>
      <c r="F24" s="2" t="n">
        <f aca="false">COUNTIFS(Accounts!$E$2:$E$621,A24)</f>
        <v>11</v>
      </c>
      <c r="G24" s="3" t="n">
        <f aca="false">SUMIFS(Accounts!$C$2:$C$621,Accounts!$E$2:$E$621,A24)</f>
        <v>81700</v>
      </c>
      <c r="H24" s="2" t="n">
        <f aca="false">F24-D24</f>
        <v>6</v>
      </c>
      <c r="I24" s="6" t="n">
        <f aca="false">G24-E24</f>
        <v>26200</v>
      </c>
    </row>
    <row r="25" customFormat="false" ht="15" hidden="false" customHeight="false" outlineLevel="0" collapsed="false">
      <c r="A25" s="2" t="n">
        <v>24</v>
      </c>
      <c r="B25" s="2" t="s">
        <v>671</v>
      </c>
      <c r="C25" s="2" t="s">
        <v>10</v>
      </c>
      <c r="D25" s="2" t="n">
        <f aca="false">COUNTIFS(Accounts!$D$2:$D$621,A25)</f>
        <v>9</v>
      </c>
      <c r="E25" s="3" t="n">
        <f aca="false">SUMIFS(Accounts!$C$2:$C$621,Accounts!$D$2:$D$621,A25)</f>
        <v>82800</v>
      </c>
      <c r="F25" s="2" t="n">
        <f aca="false">COUNTIFS(Accounts!$E$2:$E$621,A25)</f>
        <v>11</v>
      </c>
      <c r="G25" s="3" t="n">
        <f aca="false">SUMIFS(Accounts!$C$2:$C$621,Accounts!$E$2:$E$621,A25)</f>
        <v>91400</v>
      </c>
      <c r="H25" s="2" t="n">
        <f aca="false">F25-D25</f>
        <v>2</v>
      </c>
      <c r="I25" s="6" t="n">
        <f aca="false">G25-E25</f>
        <v>8600</v>
      </c>
    </row>
    <row r="26" customFormat="false" ht="15" hidden="false" customHeight="false" outlineLevel="0" collapsed="false">
      <c r="A26" s="2" t="n">
        <v>25</v>
      </c>
      <c r="B26" s="2" t="s">
        <v>672</v>
      </c>
      <c r="C26" s="2" t="s">
        <v>15</v>
      </c>
      <c r="D26" s="2" t="n">
        <f aca="false">COUNTIFS(Accounts!$D$2:$D$621,A26)</f>
        <v>12</v>
      </c>
      <c r="E26" s="3" t="n">
        <f aca="false">SUMIFS(Accounts!$C$2:$C$621,Accounts!$D$2:$D$621,A26)</f>
        <v>111100</v>
      </c>
      <c r="F26" s="2" t="n">
        <f aca="false">COUNTIFS(Accounts!$E$2:$E$621,A26)</f>
        <v>12</v>
      </c>
      <c r="G26" s="3" t="n">
        <f aca="false">SUMIFS(Accounts!$C$2:$C$621,Accounts!$E$2:$E$621,A26)</f>
        <v>111100</v>
      </c>
      <c r="H26" s="2" t="n">
        <f aca="false">F26-D26</f>
        <v>0</v>
      </c>
      <c r="I26" s="6" t="n">
        <f aca="false">G26-E26</f>
        <v>0</v>
      </c>
    </row>
    <row r="27" customFormat="false" ht="15" hidden="false" customHeight="false" outlineLevel="0" collapsed="false">
      <c r="A27" s="2" t="n">
        <v>26</v>
      </c>
      <c r="B27" s="2" t="s">
        <v>673</v>
      </c>
      <c r="C27" s="2" t="s">
        <v>12</v>
      </c>
      <c r="D27" s="2" t="n">
        <f aca="false">COUNTIFS(Accounts!$D$2:$D$621,A27)</f>
        <v>10</v>
      </c>
      <c r="E27" s="3" t="n">
        <f aca="false">SUMIFS(Accounts!$C$2:$C$621,Accounts!$D$2:$D$621,A27)</f>
        <v>82900</v>
      </c>
      <c r="F27" s="2" t="n">
        <f aca="false">COUNTIFS(Accounts!$E$2:$E$621,A27)</f>
        <v>14</v>
      </c>
      <c r="G27" s="3" t="n">
        <f aca="false">SUMIFS(Accounts!$C$2:$C$621,Accounts!$E$2:$E$621,A27)</f>
        <v>102100</v>
      </c>
      <c r="H27" s="2" t="n">
        <f aca="false">F27-D27</f>
        <v>4</v>
      </c>
      <c r="I27" s="6" t="n">
        <f aca="false">G27-E27</f>
        <v>19200</v>
      </c>
    </row>
    <row r="28" customFormat="false" ht="15" hidden="false" customHeight="false" outlineLevel="0" collapsed="false">
      <c r="A28" s="2" t="n">
        <v>27</v>
      </c>
      <c r="B28" s="2" t="s">
        <v>674</v>
      </c>
      <c r="C28" s="2" t="s">
        <v>8</v>
      </c>
      <c r="D28" s="2" t="n">
        <f aca="false">COUNTIFS(Accounts!$D$2:$D$621,A28)</f>
        <v>10</v>
      </c>
      <c r="E28" s="3" t="n">
        <f aca="false">SUMIFS(Accounts!$C$2:$C$621,Accounts!$D$2:$D$621,A28)</f>
        <v>103200</v>
      </c>
      <c r="F28" s="2" t="n">
        <f aca="false">COUNTIFS(Accounts!$E$2:$E$621,A28)</f>
        <v>10</v>
      </c>
      <c r="G28" s="3" t="n">
        <f aca="false">SUMIFS(Accounts!$C$2:$C$621,Accounts!$E$2:$E$621,A28)</f>
        <v>103200</v>
      </c>
      <c r="H28" s="2" t="n">
        <f aca="false">F28-D28</f>
        <v>0</v>
      </c>
      <c r="I28" s="6" t="n">
        <f aca="false">G28-E28</f>
        <v>0</v>
      </c>
    </row>
    <row r="29" customFormat="false" ht="15" hidden="false" customHeight="false" outlineLevel="0" collapsed="false">
      <c r="A29" s="2" t="n">
        <v>28</v>
      </c>
      <c r="B29" s="2" t="s">
        <v>675</v>
      </c>
      <c r="C29" s="2" t="s">
        <v>6</v>
      </c>
      <c r="D29" s="2" t="n">
        <f aca="false">COUNTIFS(Accounts!$D$2:$D$621,A29)</f>
        <v>14</v>
      </c>
      <c r="E29" s="3" t="n">
        <f aca="false">SUMIFS(Accounts!$C$2:$C$621,Accounts!$D$2:$D$621,A29)</f>
        <v>111500</v>
      </c>
      <c r="F29" s="2" t="n">
        <f aca="false">COUNTIFS(Accounts!$E$2:$E$621,A29)</f>
        <v>14</v>
      </c>
      <c r="G29" s="3" t="n">
        <f aca="false">SUMIFS(Accounts!$C$2:$C$621,Accounts!$E$2:$E$621,A29)</f>
        <v>111500</v>
      </c>
      <c r="H29" s="2" t="n">
        <f aca="false">F29-D29</f>
        <v>0</v>
      </c>
      <c r="I29" s="6" t="n">
        <f aca="false">G29-E29</f>
        <v>0</v>
      </c>
    </row>
    <row r="30" customFormat="false" ht="15" hidden="false" customHeight="false" outlineLevel="0" collapsed="false">
      <c r="A30" s="2" t="n">
        <v>29</v>
      </c>
      <c r="B30" s="2" t="s">
        <v>676</v>
      </c>
      <c r="C30" s="2" t="s">
        <v>10</v>
      </c>
      <c r="D30" s="2" t="n">
        <f aca="false">COUNTIFS(Accounts!$D$2:$D$621,A30)</f>
        <v>9</v>
      </c>
      <c r="E30" s="3" t="n">
        <f aca="false">SUMIFS(Accounts!$C$2:$C$621,Accounts!$D$2:$D$621,A30)</f>
        <v>72600</v>
      </c>
      <c r="F30" s="2" t="n">
        <f aca="false">COUNTIFS(Accounts!$E$2:$E$621,A30)</f>
        <v>11</v>
      </c>
      <c r="G30" s="3" t="n">
        <f aca="false">SUMIFS(Accounts!$C$2:$C$621,Accounts!$E$2:$E$621,A30)</f>
        <v>82300</v>
      </c>
      <c r="H30" s="2" t="n">
        <f aca="false">F30-D30</f>
        <v>2</v>
      </c>
      <c r="I30" s="6" t="n">
        <f aca="false">G30-E30</f>
        <v>9700</v>
      </c>
    </row>
    <row r="31" customFormat="false" ht="15" hidden="false" customHeight="false" outlineLevel="0" collapsed="false">
      <c r="A31" s="2" t="n">
        <v>30</v>
      </c>
      <c r="B31" s="2" t="s">
        <v>677</v>
      </c>
      <c r="C31" s="2" t="s">
        <v>15</v>
      </c>
      <c r="D31" s="2" t="n">
        <f aca="false">COUNTIFS(Accounts!$D$2:$D$621,A31)</f>
        <v>12</v>
      </c>
      <c r="E31" s="3" t="n">
        <f aca="false">SUMIFS(Accounts!$C$2:$C$621,Accounts!$D$2:$D$621,A31)</f>
        <v>130500</v>
      </c>
      <c r="F31" s="2" t="n">
        <f aca="false">COUNTIFS(Accounts!$E$2:$E$621,A31)</f>
        <v>12</v>
      </c>
      <c r="G31" s="3" t="n">
        <f aca="false">SUMIFS(Accounts!$C$2:$C$621,Accounts!$E$2:$E$621,A31)</f>
        <v>130500</v>
      </c>
      <c r="H31" s="2" t="n">
        <f aca="false">F31-D31</f>
        <v>0</v>
      </c>
      <c r="I31" s="6" t="n">
        <f aca="false">G31-E31</f>
        <v>0</v>
      </c>
    </row>
    <row r="32" customFormat="false" ht="15" hidden="false" customHeight="false" outlineLevel="0" collapsed="false">
      <c r="A32" s="2" t="n">
        <v>31</v>
      </c>
      <c r="B32" s="2" t="s">
        <v>678</v>
      </c>
      <c r="C32" s="2" t="s">
        <v>12</v>
      </c>
      <c r="D32" s="2" t="n">
        <f aca="false">COUNTIFS(Accounts!$D$2:$D$621,A32)</f>
        <v>7</v>
      </c>
      <c r="E32" s="3" t="n">
        <f aca="false">SUMIFS(Accounts!$C$2:$C$621,Accounts!$D$2:$D$621,A32)</f>
        <v>70600</v>
      </c>
      <c r="F32" s="2" t="n">
        <f aca="false">COUNTIFS(Accounts!$E$2:$E$621,A32)</f>
        <v>13</v>
      </c>
      <c r="G32" s="3" t="n">
        <f aca="false">SUMIFS(Accounts!$C$2:$C$621,Accounts!$E$2:$E$621,A32)</f>
        <v>97000</v>
      </c>
      <c r="H32" s="2" t="n">
        <f aca="false">F32-D32</f>
        <v>6</v>
      </c>
      <c r="I32" s="6" t="n">
        <f aca="false">G32-E32</f>
        <v>26400</v>
      </c>
    </row>
    <row r="33" customFormat="false" ht="15" hidden="false" customHeight="false" outlineLevel="0" collapsed="false">
      <c r="A33" s="2" t="n">
        <v>32</v>
      </c>
      <c r="B33" s="2" t="s">
        <v>679</v>
      </c>
      <c r="C33" s="2" t="s">
        <v>8</v>
      </c>
      <c r="D33" s="2" t="n">
        <f aca="false">COUNTIFS(Accounts!$D$2:$D$621,A33)</f>
        <v>13</v>
      </c>
      <c r="E33" s="3" t="n">
        <f aca="false">SUMIFS(Accounts!$C$2:$C$621,Accounts!$D$2:$D$621,A33)</f>
        <v>167700</v>
      </c>
      <c r="F33" s="2" t="n">
        <f aca="false">COUNTIFS(Accounts!$E$2:$E$621,A33)</f>
        <v>13</v>
      </c>
      <c r="G33" s="3" t="n">
        <f aca="false">SUMIFS(Accounts!$C$2:$C$621,Accounts!$E$2:$E$621,A33)</f>
        <v>167700</v>
      </c>
      <c r="H33" s="2" t="n">
        <f aca="false">F33-D33</f>
        <v>0</v>
      </c>
      <c r="I33" s="6" t="n">
        <f aca="false">G33-E33</f>
        <v>0</v>
      </c>
    </row>
    <row r="34" customFormat="false" ht="15" hidden="false" customHeight="false" outlineLevel="0" collapsed="false">
      <c r="A34" s="2" t="n">
        <v>33</v>
      </c>
      <c r="B34" s="2" t="s">
        <v>680</v>
      </c>
      <c r="C34" s="2" t="s">
        <v>6</v>
      </c>
      <c r="D34" s="2" t="n">
        <f aca="false">COUNTIFS(Accounts!$D$2:$D$621,A34)</f>
        <v>7</v>
      </c>
      <c r="E34" s="3" t="n">
        <f aca="false">SUMIFS(Accounts!$C$2:$C$621,Accounts!$D$2:$D$621,A34)</f>
        <v>72600</v>
      </c>
      <c r="F34" s="2" t="n">
        <f aca="false">COUNTIFS(Accounts!$E$2:$E$621,A34)</f>
        <v>11</v>
      </c>
      <c r="G34" s="3" t="n">
        <f aca="false">SUMIFS(Accounts!$C$2:$C$621,Accounts!$E$2:$E$621,A34)</f>
        <v>92100</v>
      </c>
      <c r="H34" s="2" t="n">
        <f aca="false">F34-D34</f>
        <v>4</v>
      </c>
      <c r="I34" s="6" t="n">
        <f aca="false">G34-E34</f>
        <v>19500</v>
      </c>
    </row>
    <row r="35" customFormat="false" ht="15" hidden="false" customHeight="false" outlineLevel="0" collapsed="false">
      <c r="A35" s="2" t="n">
        <v>34</v>
      </c>
      <c r="B35" s="2" t="s">
        <v>681</v>
      </c>
      <c r="C35" s="2" t="s">
        <v>10</v>
      </c>
      <c r="D35" s="2" t="n">
        <f aca="false">COUNTIFS(Accounts!$D$2:$D$621,A35)</f>
        <v>8</v>
      </c>
      <c r="E35" s="3" t="n">
        <f aca="false">SUMIFS(Accounts!$C$2:$C$621,Accounts!$D$2:$D$621,A35)</f>
        <v>62600</v>
      </c>
      <c r="F35" s="2" t="n">
        <f aca="false">COUNTIFS(Accounts!$E$2:$E$621,A35)</f>
        <v>11</v>
      </c>
      <c r="G35" s="3" t="n">
        <f aca="false">SUMIFS(Accounts!$C$2:$C$621,Accounts!$E$2:$E$621,A35)</f>
        <v>74400</v>
      </c>
      <c r="H35" s="2" t="n">
        <f aca="false">F35-D35</f>
        <v>3</v>
      </c>
      <c r="I35" s="6" t="n">
        <f aca="false">G35-E35</f>
        <v>11800</v>
      </c>
    </row>
    <row r="36" customFormat="false" ht="15" hidden="false" customHeight="false" outlineLevel="0" collapsed="false">
      <c r="A36" s="2" t="n">
        <v>35</v>
      </c>
      <c r="B36" s="2" t="s">
        <v>682</v>
      </c>
      <c r="C36" s="2" t="s">
        <v>15</v>
      </c>
      <c r="D36" s="2" t="n">
        <f aca="false">COUNTIFS(Accounts!$D$2:$D$621,A36)</f>
        <v>9</v>
      </c>
      <c r="E36" s="3" t="n">
        <f aca="false">SUMIFS(Accounts!$C$2:$C$621,Accounts!$D$2:$D$621,A36)</f>
        <v>73000</v>
      </c>
      <c r="F36" s="2" t="n">
        <f aca="false">COUNTIFS(Accounts!$E$2:$E$621,A36)</f>
        <v>13</v>
      </c>
      <c r="G36" s="3" t="n">
        <f aca="false">SUMIFS(Accounts!$C$2:$C$621,Accounts!$E$2:$E$621,A36)</f>
        <v>94700</v>
      </c>
      <c r="H36" s="2" t="n">
        <f aca="false">F36-D36</f>
        <v>4</v>
      </c>
      <c r="I36" s="6" t="n">
        <f aca="false">G36-E36</f>
        <v>21700</v>
      </c>
    </row>
    <row r="37" customFormat="false" ht="15" hidden="false" customHeight="false" outlineLevel="0" collapsed="false">
      <c r="A37" s="2" t="n">
        <v>36</v>
      </c>
      <c r="B37" s="2" t="s">
        <v>683</v>
      </c>
      <c r="C37" s="2" t="s">
        <v>12</v>
      </c>
      <c r="D37" s="2" t="n">
        <f aca="false">COUNTIFS(Accounts!$D$2:$D$621,A37)</f>
        <v>9</v>
      </c>
      <c r="E37" s="3" t="n">
        <f aca="false">SUMIFS(Accounts!$C$2:$C$621,Accounts!$D$2:$D$621,A37)</f>
        <v>78200</v>
      </c>
      <c r="F37" s="2" t="n">
        <f aca="false">COUNTIFS(Accounts!$E$2:$E$621,A37)</f>
        <v>13</v>
      </c>
      <c r="G37" s="3" t="n">
        <f aca="false">SUMIFS(Accounts!$C$2:$C$621,Accounts!$E$2:$E$621,A37)</f>
        <v>92000</v>
      </c>
      <c r="H37" s="2" t="n">
        <f aca="false">F37-D37</f>
        <v>4</v>
      </c>
      <c r="I37" s="6" t="n">
        <f aca="false">G37-E37</f>
        <v>13800</v>
      </c>
    </row>
    <row r="38" customFormat="false" ht="15" hidden="false" customHeight="false" outlineLevel="0" collapsed="false">
      <c r="A38" s="2" t="n">
        <v>37</v>
      </c>
      <c r="B38" s="2" t="s">
        <v>684</v>
      </c>
      <c r="C38" s="2" t="s">
        <v>8</v>
      </c>
      <c r="D38" s="2" t="n">
        <f aca="false">COUNTIFS(Accounts!$D$2:$D$621,A38)</f>
        <v>12</v>
      </c>
      <c r="E38" s="3" t="n">
        <f aca="false">SUMIFS(Accounts!$C$2:$C$621,Accounts!$D$2:$D$621,A38)</f>
        <v>110300</v>
      </c>
      <c r="F38" s="2" t="n">
        <f aca="false">COUNTIFS(Accounts!$E$2:$E$621,A38)</f>
        <v>12</v>
      </c>
      <c r="G38" s="3" t="n">
        <f aca="false">SUMIFS(Accounts!$C$2:$C$621,Accounts!$E$2:$E$621,A38)</f>
        <v>110300</v>
      </c>
      <c r="H38" s="2" t="n">
        <f aca="false">F38-D38</f>
        <v>0</v>
      </c>
      <c r="I38" s="6" t="n">
        <f aca="false">G38-E38</f>
        <v>0</v>
      </c>
    </row>
    <row r="39" customFormat="false" ht="15" hidden="false" customHeight="false" outlineLevel="0" collapsed="false">
      <c r="A39" s="2" t="n">
        <v>38</v>
      </c>
      <c r="B39" s="2" t="s">
        <v>685</v>
      </c>
      <c r="C39" s="2" t="s">
        <v>6</v>
      </c>
      <c r="D39" s="2" t="n">
        <f aca="false">COUNTIFS(Accounts!$D$2:$D$621,A39)</f>
        <v>9</v>
      </c>
      <c r="E39" s="3" t="n">
        <f aca="false">SUMIFS(Accounts!$C$2:$C$621,Accounts!$D$2:$D$621,A39)</f>
        <v>68100</v>
      </c>
      <c r="F39" s="2" t="n">
        <f aca="false">COUNTIFS(Accounts!$E$2:$E$621,A39)</f>
        <v>9</v>
      </c>
      <c r="G39" s="3" t="n">
        <f aca="false">SUMIFS(Accounts!$C$2:$C$621,Accounts!$E$2:$E$621,A39)</f>
        <v>68100</v>
      </c>
      <c r="H39" s="2" t="n">
        <f aca="false">F39-D39</f>
        <v>0</v>
      </c>
      <c r="I39" s="6" t="n">
        <f aca="false">G39-E39</f>
        <v>0</v>
      </c>
    </row>
    <row r="40" customFormat="false" ht="15" hidden="false" customHeight="false" outlineLevel="0" collapsed="false">
      <c r="A40" s="2" t="n">
        <v>39</v>
      </c>
      <c r="B40" s="2" t="s">
        <v>686</v>
      </c>
      <c r="C40" s="2" t="s">
        <v>10</v>
      </c>
      <c r="D40" s="2" t="n">
        <f aca="false">COUNTIFS(Accounts!$D$2:$D$621,A40)</f>
        <v>18</v>
      </c>
      <c r="E40" s="3" t="n">
        <f aca="false">SUMIFS(Accounts!$C$2:$C$621,Accounts!$D$2:$D$621,A40)</f>
        <v>151800</v>
      </c>
      <c r="F40" s="2" t="n">
        <f aca="false">COUNTIFS(Accounts!$E$2:$E$621,A40)</f>
        <v>12</v>
      </c>
      <c r="G40" s="3" t="n">
        <f aca="false">SUMIFS(Accounts!$C$2:$C$621,Accounts!$E$2:$E$621,A40)</f>
        <v>127600</v>
      </c>
      <c r="H40" s="2" t="n">
        <f aca="false">F40-D40</f>
        <v>-6</v>
      </c>
      <c r="I40" s="6" t="n">
        <f aca="false">G40-E40</f>
        <v>-24200</v>
      </c>
    </row>
    <row r="41" customFormat="false" ht="15" hidden="false" customHeight="false" outlineLevel="0" collapsed="false">
      <c r="A41" s="2" t="n">
        <v>40</v>
      </c>
      <c r="B41" s="2" t="s">
        <v>687</v>
      </c>
      <c r="C41" s="2" t="s">
        <v>15</v>
      </c>
      <c r="D41" s="2" t="n">
        <f aca="false">COUNTIFS(Accounts!$D$2:$D$621,A41)</f>
        <v>11</v>
      </c>
      <c r="E41" s="3" t="n">
        <f aca="false">SUMIFS(Accounts!$C$2:$C$621,Accounts!$D$2:$D$621,A41)</f>
        <v>116200</v>
      </c>
      <c r="F41" s="2" t="n">
        <f aca="false">COUNTIFS(Accounts!$E$2:$E$621,A41)</f>
        <v>11</v>
      </c>
      <c r="G41" s="3" t="n">
        <f aca="false">SUMIFS(Accounts!$C$2:$C$621,Accounts!$E$2:$E$621,A41)</f>
        <v>116200</v>
      </c>
      <c r="H41" s="2" t="n">
        <f aca="false">F41-D41</f>
        <v>0</v>
      </c>
      <c r="I41" s="6" t="n">
        <f aca="false">G41-E41</f>
        <v>0</v>
      </c>
    </row>
    <row r="42" customFormat="false" ht="15" hidden="false" customHeight="false" outlineLevel="0" collapsed="false">
      <c r="A42" s="2" t="n">
        <v>41</v>
      </c>
      <c r="B42" s="2" t="s">
        <v>688</v>
      </c>
      <c r="C42" s="2" t="s">
        <v>12</v>
      </c>
      <c r="D42" s="2" t="n">
        <f aca="false">COUNTIFS(Accounts!$D$2:$D$621,A42)</f>
        <v>12</v>
      </c>
      <c r="E42" s="3" t="n">
        <f aca="false">SUMIFS(Accounts!$C$2:$C$621,Accounts!$D$2:$D$621,A42)</f>
        <v>129500</v>
      </c>
      <c r="F42" s="2" t="n">
        <f aca="false">COUNTIFS(Accounts!$E$2:$E$621,A42)</f>
        <v>12</v>
      </c>
      <c r="G42" s="3" t="n">
        <f aca="false">SUMIFS(Accounts!$C$2:$C$621,Accounts!$E$2:$E$621,A42)</f>
        <v>129500</v>
      </c>
      <c r="H42" s="2" t="n">
        <f aca="false">F42-D42</f>
        <v>0</v>
      </c>
      <c r="I42" s="6" t="n">
        <f aca="false">G42-E42</f>
        <v>0</v>
      </c>
    </row>
    <row r="43" customFormat="false" ht="15" hidden="false" customHeight="false" outlineLevel="0" collapsed="false">
      <c r="A43" s="2" t="n">
        <v>42</v>
      </c>
      <c r="B43" s="2" t="s">
        <v>689</v>
      </c>
      <c r="C43" s="2" t="s">
        <v>8</v>
      </c>
      <c r="D43" s="2" t="n">
        <f aca="false">COUNTIFS(Accounts!$D$2:$D$621,A43)</f>
        <v>11</v>
      </c>
      <c r="E43" s="3" t="n">
        <f aca="false">SUMIFS(Accounts!$C$2:$C$621,Accounts!$D$2:$D$621,A43)</f>
        <v>108400</v>
      </c>
      <c r="F43" s="2" t="n">
        <f aca="false">COUNTIFS(Accounts!$E$2:$E$621,A43)</f>
        <v>11</v>
      </c>
      <c r="G43" s="3" t="n">
        <f aca="false">SUMIFS(Accounts!$C$2:$C$621,Accounts!$E$2:$E$621,A43)</f>
        <v>108400</v>
      </c>
      <c r="H43" s="2" t="n">
        <f aca="false">F43-D43</f>
        <v>0</v>
      </c>
      <c r="I43" s="6" t="n">
        <f aca="false">G43-E43</f>
        <v>0</v>
      </c>
    </row>
    <row r="44" customFormat="false" ht="15" hidden="false" customHeight="false" outlineLevel="0" collapsed="false">
      <c r="A44" s="2" t="n">
        <v>43</v>
      </c>
      <c r="B44" s="2" t="s">
        <v>690</v>
      </c>
      <c r="C44" s="2" t="s">
        <v>6</v>
      </c>
      <c r="D44" s="2" t="n">
        <f aca="false">COUNTIFS(Accounts!$D$2:$D$621,A44)</f>
        <v>9</v>
      </c>
      <c r="E44" s="3" t="n">
        <f aca="false">SUMIFS(Accounts!$C$2:$C$621,Accounts!$D$2:$D$621,A44)</f>
        <v>64900</v>
      </c>
      <c r="F44" s="2" t="n">
        <f aca="false">COUNTIFS(Accounts!$E$2:$E$621,A44)</f>
        <v>9</v>
      </c>
      <c r="G44" s="3" t="n">
        <f aca="false">SUMIFS(Accounts!$C$2:$C$621,Accounts!$E$2:$E$621,A44)</f>
        <v>64900</v>
      </c>
      <c r="H44" s="2" t="n">
        <f aca="false">F44-D44</f>
        <v>0</v>
      </c>
      <c r="I44" s="6" t="n">
        <f aca="false">G44-E44</f>
        <v>0</v>
      </c>
    </row>
    <row r="45" customFormat="false" ht="15" hidden="false" customHeight="false" outlineLevel="0" collapsed="false">
      <c r="A45" s="2" t="n">
        <v>44</v>
      </c>
      <c r="B45" s="2" t="s">
        <v>691</v>
      </c>
      <c r="C45" s="2" t="s">
        <v>10</v>
      </c>
      <c r="D45" s="2" t="n">
        <f aca="false">COUNTIFS(Accounts!$D$2:$D$621,A45)</f>
        <v>7</v>
      </c>
      <c r="E45" s="3" t="n">
        <f aca="false">SUMIFS(Accounts!$C$2:$C$621,Accounts!$D$2:$D$621,A45)</f>
        <v>76400</v>
      </c>
      <c r="F45" s="2" t="n">
        <f aca="false">COUNTIFS(Accounts!$E$2:$E$621,A45)</f>
        <v>11</v>
      </c>
      <c r="G45" s="3" t="n">
        <f aca="false">SUMIFS(Accounts!$C$2:$C$621,Accounts!$E$2:$E$621,A45)</f>
        <v>91300</v>
      </c>
      <c r="H45" s="2" t="n">
        <f aca="false">F45-D45</f>
        <v>4</v>
      </c>
      <c r="I45" s="6" t="n">
        <f aca="false">G45-E45</f>
        <v>14900</v>
      </c>
    </row>
    <row r="46" customFormat="false" ht="15" hidden="false" customHeight="false" outlineLevel="0" collapsed="false">
      <c r="A46" s="2" t="n">
        <v>45</v>
      </c>
      <c r="B46" s="2" t="s">
        <v>692</v>
      </c>
      <c r="C46" s="2" t="s">
        <v>15</v>
      </c>
      <c r="D46" s="2" t="n">
        <f aca="false">COUNTIFS(Accounts!$D$2:$D$621,A46)</f>
        <v>7</v>
      </c>
      <c r="E46" s="3" t="n">
        <f aca="false">SUMIFS(Accounts!$C$2:$C$621,Accounts!$D$2:$D$621,A46)</f>
        <v>56600</v>
      </c>
      <c r="F46" s="2" t="n">
        <f aca="false">COUNTIFS(Accounts!$E$2:$E$621,A46)</f>
        <v>13</v>
      </c>
      <c r="G46" s="3" t="n">
        <f aca="false">SUMIFS(Accounts!$C$2:$C$621,Accounts!$E$2:$E$621,A46)</f>
        <v>87100</v>
      </c>
      <c r="H46" s="2" t="n">
        <f aca="false">F46-D46</f>
        <v>6</v>
      </c>
      <c r="I46" s="6" t="n">
        <f aca="false">G46-E46</f>
        <v>30500</v>
      </c>
    </row>
    <row r="47" customFormat="false" ht="15" hidden="false" customHeight="false" outlineLevel="0" collapsed="false">
      <c r="A47" s="2" t="n">
        <v>46</v>
      </c>
      <c r="B47" s="2" t="s">
        <v>693</v>
      </c>
      <c r="C47" s="2" t="s">
        <v>12</v>
      </c>
      <c r="D47" s="2" t="n">
        <f aca="false">COUNTIFS(Accounts!$D$2:$D$621,A47)</f>
        <v>11</v>
      </c>
      <c r="E47" s="3" t="n">
        <f aca="false">SUMIFS(Accounts!$C$2:$C$621,Accounts!$D$2:$D$621,A47)</f>
        <v>99200</v>
      </c>
      <c r="F47" s="2" t="n">
        <f aca="false">COUNTIFS(Accounts!$E$2:$E$621,A47)</f>
        <v>11</v>
      </c>
      <c r="G47" s="3" t="n">
        <f aca="false">SUMIFS(Accounts!$C$2:$C$621,Accounts!$E$2:$E$621,A47)</f>
        <v>99200</v>
      </c>
      <c r="H47" s="2" t="n">
        <f aca="false">F47-D47</f>
        <v>0</v>
      </c>
      <c r="I47" s="6" t="n">
        <f aca="false">G47-E47</f>
        <v>0</v>
      </c>
    </row>
    <row r="48" customFormat="false" ht="15" hidden="false" customHeight="false" outlineLevel="0" collapsed="false">
      <c r="A48" s="2" t="n">
        <v>47</v>
      </c>
      <c r="B48" s="2" t="s">
        <v>694</v>
      </c>
      <c r="C48" s="2" t="s">
        <v>8</v>
      </c>
      <c r="D48" s="2" t="n">
        <f aca="false">COUNTIFS(Accounts!$D$2:$D$621,A48)</f>
        <v>8</v>
      </c>
      <c r="E48" s="3" t="n">
        <f aca="false">SUMIFS(Accounts!$C$2:$C$621,Accounts!$D$2:$D$621,A48)</f>
        <v>55200</v>
      </c>
      <c r="F48" s="2" t="n">
        <f aca="false">COUNTIFS(Accounts!$E$2:$E$621,A48)</f>
        <v>13</v>
      </c>
      <c r="G48" s="3" t="n">
        <f aca="false">SUMIFS(Accounts!$C$2:$C$621,Accounts!$E$2:$E$621,A48)</f>
        <v>72500</v>
      </c>
      <c r="H48" s="2" t="n">
        <f aca="false">F48-D48</f>
        <v>5</v>
      </c>
      <c r="I48" s="6" t="n">
        <f aca="false">G48-E48</f>
        <v>17300</v>
      </c>
    </row>
    <row r="49" customFormat="false" ht="15" hidden="false" customHeight="false" outlineLevel="0" collapsed="false">
      <c r="A49" s="2" t="n">
        <v>48</v>
      </c>
      <c r="B49" s="2" t="s">
        <v>695</v>
      </c>
      <c r="C49" s="2" t="s">
        <v>6</v>
      </c>
      <c r="D49" s="2" t="n">
        <f aca="false">COUNTIFS(Accounts!$D$2:$D$621,A49)</f>
        <v>5</v>
      </c>
      <c r="E49" s="3" t="n">
        <f aca="false">SUMIFS(Accounts!$C$2:$C$621,Accounts!$D$2:$D$621,A49)</f>
        <v>61200</v>
      </c>
      <c r="F49" s="2" t="n">
        <f aca="false">COUNTIFS(Accounts!$E$2:$E$621,A49)</f>
        <v>10</v>
      </c>
      <c r="G49" s="3" t="n">
        <f aca="false">SUMIFS(Accounts!$C$2:$C$621,Accounts!$E$2:$E$621,A49)</f>
        <v>86200</v>
      </c>
      <c r="H49" s="2" t="n">
        <f aca="false">F49-D49</f>
        <v>5</v>
      </c>
      <c r="I49" s="6" t="n">
        <f aca="false">G49-E49</f>
        <v>25000</v>
      </c>
    </row>
    <row r="50" customFormat="false" ht="15" hidden="false" customHeight="false" outlineLevel="0" collapsed="false">
      <c r="A50" s="2" t="n">
        <v>49</v>
      </c>
      <c r="B50" s="2" t="s">
        <v>696</v>
      </c>
      <c r="C50" s="2" t="s">
        <v>10</v>
      </c>
      <c r="D50" s="2" t="n">
        <f aca="false">COUNTIFS(Accounts!$D$2:$D$621,A50)</f>
        <v>11</v>
      </c>
      <c r="E50" s="3" t="n">
        <f aca="false">SUMIFS(Accounts!$C$2:$C$621,Accounts!$D$2:$D$621,A50)</f>
        <v>119800</v>
      </c>
      <c r="F50" s="2" t="n">
        <f aca="false">COUNTIFS(Accounts!$E$2:$E$621,A50)</f>
        <v>11</v>
      </c>
      <c r="G50" s="3" t="n">
        <f aca="false">SUMIFS(Accounts!$C$2:$C$621,Accounts!$E$2:$E$621,A50)</f>
        <v>119800</v>
      </c>
      <c r="H50" s="2" t="n">
        <f aca="false">F50-D50</f>
        <v>0</v>
      </c>
      <c r="I50" s="6" t="n">
        <f aca="false">G50-E50</f>
        <v>0</v>
      </c>
    </row>
    <row r="51" customFormat="false" ht="15" hidden="false" customHeight="false" outlineLevel="0" collapsed="false">
      <c r="A51" s="2" t="n">
        <v>50</v>
      </c>
      <c r="B51" s="2" t="s">
        <v>697</v>
      </c>
      <c r="C51" s="2" t="s">
        <v>15</v>
      </c>
      <c r="D51" s="2" t="n">
        <f aca="false">COUNTIFS(Accounts!$D$2:$D$621,A51)</f>
        <v>5</v>
      </c>
      <c r="E51" s="3" t="n">
        <f aca="false">SUMIFS(Accounts!$C$2:$C$621,Accounts!$D$2:$D$621,A51)</f>
        <v>49100</v>
      </c>
      <c r="F51" s="2" t="n">
        <f aca="false">COUNTIFS(Accounts!$E$2:$E$621,A51)</f>
        <v>13</v>
      </c>
      <c r="G51" s="3" t="n">
        <f aca="false">SUMIFS(Accounts!$C$2:$C$621,Accounts!$E$2:$E$621,A51)</f>
        <v>89600</v>
      </c>
      <c r="H51" s="2" t="n">
        <f aca="false">F51-D51</f>
        <v>8</v>
      </c>
      <c r="I51" s="6" t="n">
        <f aca="false">G51-E51</f>
        <v>40500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2" style="0" width="15"/>
  </cols>
  <sheetData>
    <row r="2" customFormat="false" ht="17.35" hidden="false" customHeight="false" outlineLevel="0" collapsed="false">
      <c r="B2" s="12" t="s">
        <v>698</v>
      </c>
    </row>
    <row r="3" customFormat="false" ht="15" hidden="false" customHeight="false" outlineLevel="0" collapsed="false">
      <c r="B3" s="13" t="s">
        <v>699</v>
      </c>
    </row>
    <row r="5" customFormat="false" ht="22.35" hidden="false" customHeight="false" outlineLevel="0" collapsed="false">
      <c r="B5" s="14" t="s">
        <v>700</v>
      </c>
      <c r="C5" s="15"/>
      <c r="D5" s="15"/>
      <c r="F5" s="14" t="s">
        <v>701</v>
      </c>
      <c r="G5" s="15"/>
      <c r="H5" s="15"/>
      <c r="J5" s="14" t="s">
        <v>702</v>
      </c>
      <c r="K5" s="15"/>
      <c r="L5" s="15"/>
    </row>
    <row r="6" customFormat="false" ht="18.55" hidden="false" customHeight="false" outlineLevel="0" collapsed="false">
      <c r="B6" s="16" t="n">
        <f aca="false">Rep_Summary!L3</f>
        <v>46105.2802182136</v>
      </c>
      <c r="C6" s="15"/>
      <c r="D6" s="15"/>
      <c r="F6" s="16" t="n">
        <f aca="false">Rep_Summary!M3</f>
        <v>28419.4944360381</v>
      </c>
      <c r="G6" s="15"/>
      <c r="H6" s="15"/>
      <c r="J6" s="17" t="n">
        <f aca="false">Rep_Summary!M5</f>
        <v>0.383595668402182</v>
      </c>
      <c r="K6" s="15"/>
      <c r="L6" s="15"/>
    </row>
    <row r="9" customFormat="false" ht="32.8" hidden="false" customHeight="false" outlineLevel="0" collapsed="false">
      <c r="B9" s="14" t="s">
        <v>703</v>
      </c>
      <c r="C9" s="15"/>
      <c r="D9" s="15"/>
      <c r="F9" s="14" t="s">
        <v>704</v>
      </c>
      <c r="G9" s="15"/>
      <c r="H9" s="15"/>
      <c r="J9" s="14" t="s">
        <v>705</v>
      </c>
      <c r="K9" s="15"/>
      <c r="L9" s="15"/>
    </row>
    <row r="10" customFormat="false" ht="46.25" hidden="false" customHeight="false" outlineLevel="0" collapsed="false">
      <c r="B10" s="18" t="n">
        <f aca="false">Rep_Summary!L6</f>
        <v>19</v>
      </c>
      <c r="C10" s="15"/>
      <c r="D10" s="15"/>
      <c r="F10" s="18" t="n">
        <f aca="false">Rep_Summary!M6</f>
        <v>24</v>
      </c>
      <c r="G10" s="15"/>
      <c r="H10" s="15"/>
      <c r="J10" s="19" t="s">
        <v>706</v>
      </c>
      <c r="K10" s="15"/>
      <c r="L10" s="15"/>
    </row>
    <row r="13" customFormat="false" ht="22.35" hidden="false" customHeight="false" outlineLevel="0" collapsed="false">
      <c r="B13" s="14" t="s">
        <v>707</v>
      </c>
      <c r="C13" s="15"/>
      <c r="D13" s="15"/>
      <c r="F13" s="14" t="s">
        <v>708</v>
      </c>
      <c r="G13" s="15"/>
      <c r="H13" s="15"/>
      <c r="J13" s="14" t="s">
        <v>709</v>
      </c>
      <c r="K13" s="15"/>
      <c r="L13" s="15"/>
    </row>
    <row r="14" customFormat="false" ht="18.55" hidden="false" customHeight="false" outlineLevel="0" collapsed="false">
      <c r="B14" s="18" t="n">
        <f aca="false">Rep_Summary!L7</f>
        <v>112</v>
      </c>
      <c r="C14" s="15"/>
      <c r="D14" s="15"/>
      <c r="F14" s="18" t="n">
        <f aca="false">Rep_Summary!M7</f>
        <v>43</v>
      </c>
      <c r="G14" s="15"/>
      <c r="H14" s="15"/>
      <c r="J14" s="17" t="n">
        <f aca="false">(Rep_Summary!L7-Rep_Summary!M7)/Rep_Summary!L7</f>
        <v>0.616071428571429</v>
      </c>
      <c r="K14" s="15"/>
      <c r="L1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2026-08-16T22:40:58Z</dcterms:created>
  <dc:creator>openpyxl</dc:creator>
  <dc:description/>
  <dc:language>en-US</dc:language>
  <cp:lastModifiedBy/>
  <dcterms:modified xsi:type="dcterms:W3CDTF">2026-08-16T22:41:02Z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